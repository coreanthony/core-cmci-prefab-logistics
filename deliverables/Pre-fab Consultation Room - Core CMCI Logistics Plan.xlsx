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908" windowWidth="30936" windowHeight="16776" tabRatio="600" firstSheet="0" activeTab="0" autoFilterDateGrouping="1"/>
  </bookViews>
  <sheets>
    <sheet xmlns:r="http://schemas.openxmlformats.org/officeDocument/2006/relationships" name="Current List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Logistics Plan" sheetId="4" state="visible" r:id="rId4"/>
    <sheet xmlns:r="http://schemas.openxmlformats.org/officeDocument/2006/relationships" name="Region Summary" sheetId="5" state="visible" r:id="rId5"/>
    <sheet xmlns:r="http://schemas.openxmlformats.org/officeDocument/2006/relationships" name="Map Data" sheetId="6" state="visible" r:id="rId6"/>
    <sheet xmlns:r="http://schemas.openxmlformats.org/officeDocument/2006/relationships" name="Open Items" sheetId="7" state="visible" r:id="rId7"/>
  </sheets>
  <definedNames>
    <definedName name="_xlnm._FilterDatabase" localSheetId="0" hidden="1">'Current List'!$A$1:$V$66</definedName>
    <definedName name="_xlnm._FilterDatabase" localSheetId="1" hidden="1">'Rejected Candidates'!$A$1:$JK$30</definedName>
    <definedName name="_xlnm._FilterDatabase" localSheetId="3" hidden="1">'Logistics Plan'!$A$4:$S$69</definedName>
    <definedName name="_xlnm._FilterDatabase" localSheetId="5" hidden="1">'Map Data'!$A$1:$K$66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d m/d/yy"/>
    <numFmt numFmtId="165" formatCode="m/d/yy"/>
    <numFmt numFmtId="166" formatCode="yyyy-mm-dd h:mm:ss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  <sz val="13"/>
    </font>
    <font>
      <b val="1"/>
    </font>
    <font>
      <color rgb="000000FF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4" fontId="0" fillId="0" borderId="1" applyAlignment="1" pivotButton="0" quotePrefix="0" xfId="0">
      <alignment horizontal="center" wrapText="1"/>
    </xf>
    <xf numFmtId="0" fontId="1" fillId="13" borderId="1" applyAlignment="1" pivotButton="0" quotePrefix="0" xfId="0">
      <alignment horizontal="center" vertical="center" wrapText="1"/>
    </xf>
    <xf numFmtId="14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4" fontId="0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 wrapText="1"/>
    </xf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15" borderId="0" pivotButton="0" quotePrefix="0" xfId="0"/>
    <xf numFmtId="0" fontId="5" fillId="16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65" fontId="5" fillId="16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0" fillId="0" borderId="2" applyAlignment="1" pivotButton="0" quotePrefix="0" xfId="0">
      <alignment vertical="top" wrapText="1"/>
    </xf>
    <xf numFmtId="165" fontId="5" fillId="16" borderId="2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00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L66"/>
  <sheetViews>
    <sheetView tabSelected="1" workbookViewId="0">
      <pane ySplit="1" topLeftCell="A2" activePane="bottomLeft" state="frozen"/>
      <selection pane="bottomLeft" activeCell="G2" sqref="G2"/>
      <selection pane="bottomLeft" activeCell="Q23" sqref="Q23"/>
    </sheetView>
  </sheetViews>
  <sheetFormatPr baseColWidth="8" defaultColWidth="11.41796875" defaultRowHeight="14.4"/>
  <cols>
    <col width="10" customWidth="1" style="26" min="1" max="1"/>
    <col hidden="1" width="10.41796875" customWidth="1" style="26" min="2" max="2"/>
    <col width="11" customWidth="1" style="26" min="3" max="3"/>
    <col width="7.26171875" customWidth="1" style="26" min="4" max="4"/>
    <col hidden="1" width="7.26171875" customWidth="1" style="26" min="5" max="6"/>
    <col width="10.15625" customWidth="1" style="26" min="7" max="7"/>
    <col width="30.15625" customWidth="1" style="26" min="8" max="8"/>
    <col width="23" customWidth="1" style="26" min="9" max="9"/>
    <col width="10.578125" customWidth="1" style="26" min="10" max="10"/>
    <col width="7.578125" customWidth="1" style="26" min="11" max="11"/>
    <col hidden="1" width="17.578125" customWidth="1" style="26" min="12" max="12"/>
    <col width="20" customWidth="1" style="26" min="13" max="13"/>
    <col width="20" customWidth="1" style="24" min="14" max="14"/>
    <col width="16.83984375" customWidth="1" style="24" min="15" max="15"/>
    <col width="17.578125" customWidth="1" style="24" min="16" max="16"/>
    <col width="25.68359375" customWidth="1" style="24" min="17" max="17"/>
    <col width="17.578125" customWidth="1" style="24" min="18" max="18"/>
    <col width="13.578125" customWidth="1" style="24" min="19" max="19"/>
    <col width="13.578125" customWidth="1" style="22" min="20" max="21"/>
    <col width="35.68359375" customWidth="1" style="26" min="22" max="22"/>
  </cols>
  <sheetData>
    <row r="1" ht="28.8" customHeight="1" s="26">
      <c r="A1" s="17" t="inlineStr">
        <is>
          <t>CS#</t>
        </is>
      </c>
      <c r="B1" s="18" t="inlineStr">
        <is>
          <t>Store #</t>
        </is>
      </c>
      <c r="C1" s="17" t="inlineStr">
        <is>
          <t>5 Digit Store</t>
        </is>
      </c>
      <c r="D1" s="18" t="inlineStr">
        <is>
          <t>Div</t>
        </is>
      </c>
      <c r="E1" s="18" t="inlineStr">
        <is>
          <t>Reg</t>
        </is>
      </c>
      <c r="F1" s="18" t="inlineStr">
        <is>
          <t>Dist</t>
        </is>
      </c>
      <c r="G1" s="17" t="inlineStr">
        <is>
          <t>Cluster</t>
        </is>
      </c>
      <c r="H1" s="18" t="inlineStr">
        <is>
          <t>Address</t>
        </is>
      </c>
      <c r="I1" s="18" t="inlineStr">
        <is>
          <t>City</t>
        </is>
      </c>
      <c r="J1" s="18" t="inlineStr">
        <is>
          <t>State</t>
        </is>
      </c>
      <c r="K1" s="18" t="inlineStr">
        <is>
          <t>Zip</t>
        </is>
      </c>
      <c r="L1" s="18" t="inlineStr">
        <is>
          <t>Store Type</t>
        </is>
      </c>
      <c r="M1" s="18" t="inlineStr">
        <is>
          <t>PM/SPM</t>
        </is>
      </c>
      <c r="N1" s="15" t="inlineStr">
        <is>
          <t>Layout Validation Status</t>
        </is>
      </c>
      <c r="O1" s="15" t="inlineStr">
        <is>
          <t>MV or Store Labor?</t>
        </is>
      </c>
      <c r="P1" s="17" t="inlineStr">
        <is>
          <t>Merchandising Hours</t>
        </is>
      </c>
      <c r="Q1" s="17" t="inlineStr">
        <is>
          <t>GC</t>
        </is>
      </c>
      <c r="R1" s="17" t="inlineStr">
        <is>
          <t>MV</t>
        </is>
      </c>
      <c r="S1" s="17" t="inlineStr">
        <is>
          <t>Unit Configuration</t>
        </is>
      </c>
      <c r="T1" s="16" t="inlineStr">
        <is>
          <t>MSD</t>
        </is>
      </c>
      <c r="U1" s="16" t="inlineStr">
        <is>
          <t>CSD</t>
        </is>
      </c>
      <c r="V1" s="17" t="inlineStr">
        <is>
          <t>Notes</t>
        </is>
      </c>
    </row>
    <row r="2" customFormat="1" s="1">
      <c r="A2" s="12" t="inlineStr">
        <is>
          <t>190032</t>
        </is>
      </c>
      <c r="B2" s="12" t="n">
        <v>10880</v>
      </c>
      <c r="C2" s="12" t="inlineStr">
        <is>
          <t>10880</t>
        </is>
      </c>
      <c r="D2" s="12" t="inlineStr">
        <is>
          <t>07</t>
        </is>
      </c>
      <c r="E2" s="12" t="inlineStr">
        <is>
          <t>37</t>
        </is>
      </c>
      <c r="F2" s="12" t="inlineStr">
        <is>
          <t>03</t>
        </is>
      </c>
      <c r="G2" s="12" t="n">
        <v>149</v>
      </c>
      <c r="H2" s="12" t="inlineStr">
        <is>
          <t>8580 N. MACARTHUR BLVD</t>
        </is>
      </c>
      <c r="I2" s="12" t="inlineStr">
        <is>
          <t>IRVING</t>
        </is>
      </c>
      <c r="J2" s="12" t="inlineStr">
        <is>
          <t>TX</t>
        </is>
      </c>
      <c r="K2" s="12" t="inlineStr">
        <is>
          <t>75063</t>
        </is>
      </c>
      <c r="L2" s="12" t="inlineStr">
        <is>
          <t>Freestanding</t>
        </is>
      </c>
      <c r="M2" s="12" t="inlineStr">
        <is>
          <t>Soto; Joseph</t>
        </is>
      </c>
      <c r="N2" s="12" t="inlineStr">
        <is>
          <t>Approved</t>
        </is>
      </c>
      <c r="O2" s="12" t="inlineStr">
        <is>
          <t>MV</t>
        </is>
      </c>
      <c r="P2" s="12" t="n">
        <v>64</v>
      </c>
      <c r="Q2" s="19" t="inlineStr">
        <is>
          <t>Core CMCI</t>
        </is>
      </c>
      <c r="R2" s="19" t="inlineStr">
        <is>
          <t>Channel Partners</t>
        </is>
      </c>
      <c r="S2" s="12" t="n">
        <v>3</v>
      </c>
      <c r="T2" s="14" t="n">
        <v>46300</v>
      </c>
      <c r="U2" s="14">
        <f>T2+7</f>
        <v/>
      </c>
      <c r="V2" s="13" t="n"/>
      <c r="JL2" s="11" t="n"/>
    </row>
    <row r="3" customFormat="1" s="1">
      <c r="A3" s="12" t="inlineStr">
        <is>
          <t>190020</t>
        </is>
      </c>
      <c r="B3" s="12" t="n">
        <v>10996</v>
      </c>
      <c r="C3" s="12" t="inlineStr">
        <is>
          <t>10996</t>
        </is>
      </c>
      <c r="D3" s="12" t="inlineStr">
        <is>
          <t>07</t>
        </is>
      </c>
      <c r="E3" s="12" t="inlineStr">
        <is>
          <t>33</t>
        </is>
      </c>
      <c r="F3" s="12" t="inlineStr">
        <is>
          <t>01</t>
        </is>
      </c>
      <c r="G3" s="12" t="n">
        <v>145</v>
      </c>
      <c r="H3" s="12" t="inlineStr">
        <is>
          <t>9663 W. FM 1097 RD.</t>
        </is>
      </c>
      <c r="I3" s="12" t="inlineStr">
        <is>
          <t>WILLIS</t>
        </is>
      </c>
      <c r="J3" s="12" t="inlineStr">
        <is>
          <t>TX</t>
        </is>
      </c>
      <c r="K3" s="12" t="inlineStr">
        <is>
          <t>77318</t>
        </is>
      </c>
      <c r="L3" s="12" t="inlineStr">
        <is>
          <t>Freestanding</t>
        </is>
      </c>
      <c r="M3" s="12" t="inlineStr">
        <is>
          <t>Cathey; Chris C.</t>
        </is>
      </c>
      <c r="N3" s="12" t="inlineStr">
        <is>
          <t>Approved</t>
        </is>
      </c>
      <c r="O3" s="12" t="inlineStr">
        <is>
          <t>MV</t>
        </is>
      </c>
      <c r="P3" s="12" t="n">
        <v>32</v>
      </c>
      <c r="Q3" s="19" t="inlineStr">
        <is>
          <t>Core CMCI</t>
        </is>
      </c>
      <c r="R3" s="19" t="inlineStr">
        <is>
          <t>Pivotal</t>
        </is>
      </c>
      <c r="S3" s="12" t="n">
        <v>3</v>
      </c>
      <c r="T3" s="14" t="n">
        <v>46307</v>
      </c>
      <c r="U3" s="14">
        <f>T3+7</f>
        <v/>
      </c>
      <c r="V3" s="13" t="n"/>
      <c r="JL3" s="6" t="n"/>
    </row>
    <row r="4" customFormat="1" s="1">
      <c r="A4" s="12" t="inlineStr">
        <is>
          <t>189469</t>
        </is>
      </c>
      <c r="B4" s="12" t="n">
        <v>6893</v>
      </c>
      <c r="C4" s="12" t="inlineStr">
        <is>
          <t>06893</t>
        </is>
      </c>
      <c r="D4" s="12" t="inlineStr">
        <is>
          <t>07</t>
        </is>
      </c>
      <c r="E4" s="12" t="inlineStr">
        <is>
          <t>35</t>
        </is>
      </c>
      <c r="F4" s="12" t="inlineStr">
        <is>
          <t>02</t>
        </is>
      </c>
      <c r="G4" s="12" t="n">
        <v>147</v>
      </c>
      <c r="H4" s="12" t="inlineStr">
        <is>
          <t>3569 FAR WEST BLVD.</t>
        </is>
      </c>
      <c r="I4" s="12" t="inlineStr">
        <is>
          <t>AUSTIN</t>
        </is>
      </c>
      <c r="J4" s="12" t="inlineStr">
        <is>
          <t>TX</t>
        </is>
      </c>
      <c r="K4" s="12" t="inlineStr">
        <is>
          <t>78731</t>
        </is>
      </c>
      <c r="L4" s="12" t="inlineStr">
        <is>
          <t>Strip Shopping Center</t>
        </is>
      </c>
      <c r="M4" s="12" t="inlineStr">
        <is>
          <t>Soto; Joseph</t>
        </is>
      </c>
      <c r="N4" s="12" t="inlineStr">
        <is>
          <t>Approved</t>
        </is>
      </c>
      <c r="O4" s="12" t="inlineStr">
        <is>
          <t>N/A</t>
        </is>
      </c>
      <c r="P4" s="12" t="n">
        <v>0</v>
      </c>
      <c r="Q4" s="19" t="inlineStr">
        <is>
          <t>Core CMCI</t>
        </is>
      </c>
      <c r="R4" s="12" t="inlineStr">
        <is>
          <t>N/A</t>
        </is>
      </c>
      <c r="S4" s="12" t="n">
        <v>3</v>
      </c>
      <c r="T4" s="14" t="n">
        <v>46307</v>
      </c>
      <c r="U4" s="14">
        <f>T4+7</f>
        <v/>
      </c>
      <c r="V4" s="13" t="n"/>
      <c r="JL4" s="1" t="n"/>
    </row>
    <row r="5" customFormat="1" s="1">
      <c r="A5" s="12" t="inlineStr">
        <is>
          <t>190027</t>
        </is>
      </c>
      <c r="B5" s="12" t="n">
        <v>10691</v>
      </c>
      <c r="C5" s="12" t="inlineStr">
        <is>
          <t>10691</t>
        </is>
      </c>
      <c r="D5" s="12" t="inlineStr">
        <is>
          <t>07</t>
        </is>
      </c>
      <c r="E5" s="12" t="inlineStr">
        <is>
          <t>35</t>
        </is>
      </c>
      <c r="F5" s="12" t="inlineStr">
        <is>
          <t>01</t>
        </is>
      </c>
      <c r="G5" s="12" t="n">
        <v>147</v>
      </c>
      <c r="H5" s="12" t="inlineStr">
        <is>
          <t>302 GATEWAY NORTH</t>
        </is>
      </c>
      <c r="I5" s="12" t="inlineStr">
        <is>
          <t>MARBLE FALLS</t>
        </is>
      </c>
      <c r="J5" s="12" t="inlineStr">
        <is>
          <t>TX</t>
        </is>
      </c>
      <c r="K5" s="12" t="inlineStr">
        <is>
          <t>78654</t>
        </is>
      </c>
      <c r="L5" s="12" t="inlineStr">
        <is>
          <t>Freestanding</t>
        </is>
      </c>
      <c r="M5" s="12" t="inlineStr">
        <is>
          <t>Soto; Joseph</t>
        </is>
      </c>
      <c r="N5" s="12" t="inlineStr">
        <is>
          <t>Approved</t>
        </is>
      </c>
      <c r="O5" s="12" t="inlineStr">
        <is>
          <t>MV</t>
        </is>
      </c>
      <c r="P5" s="12" t="n">
        <v>44</v>
      </c>
      <c r="Q5" s="19" t="inlineStr">
        <is>
          <t>Core CMCI</t>
        </is>
      </c>
      <c r="R5" s="19" t="inlineStr">
        <is>
          <t>Merchco</t>
        </is>
      </c>
      <c r="S5" s="12" t="n">
        <v>3</v>
      </c>
      <c r="T5" s="14" t="n">
        <v>46307</v>
      </c>
      <c r="U5" s="14">
        <f>T5+7</f>
        <v/>
      </c>
      <c r="V5" s="13" t="n"/>
    </row>
    <row r="6" customFormat="1" s="2">
      <c r="A6" s="12" t="inlineStr">
        <is>
          <t>190030</t>
        </is>
      </c>
      <c r="B6" s="12" t="n">
        <v>10633</v>
      </c>
      <c r="C6" s="12" t="inlineStr">
        <is>
          <t>10633</t>
        </is>
      </c>
      <c r="D6" s="12" t="inlineStr">
        <is>
          <t>07</t>
        </is>
      </c>
      <c r="E6" s="12" t="inlineStr">
        <is>
          <t>35</t>
        </is>
      </c>
      <c r="F6" s="12" t="inlineStr">
        <is>
          <t>04</t>
        </is>
      </c>
      <c r="G6" s="12" t="n">
        <v>148</v>
      </c>
      <c r="H6" s="12" t="inlineStr">
        <is>
          <t>3502 SE MILITARY DR.</t>
        </is>
      </c>
      <c r="I6" s="12" t="inlineStr">
        <is>
          <t>SAN ANTONIO</t>
        </is>
      </c>
      <c r="J6" s="12" t="inlineStr">
        <is>
          <t>TX</t>
        </is>
      </c>
      <c r="K6" s="12" t="inlineStr">
        <is>
          <t>78223</t>
        </is>
      </c>
      <c r="L6" s="12" t="inlineStr">
        <is>
          <t>Freestanding</t>
        </is>
      </c>
      <c r="M6" s="12" t="inlineStr">
        <is>
          <t>Soto; Joseph</t>
        </is>
      </c>
      <c r="N6" s="12" t="inlineStr">
        <is>
          <t>Approved</t>
        </is>
      </c>
      <c r="O6" s="12" t="inlineStr">
        <is>
          <t>MV</t>
        </is>
      </c>
      <c r="P6" s="12" t="n">
        <v>6</v>
      </c>
      <c r="Q6" s="19" t="inlineStr">
        <is>
          <t>Core CMCI</t>
        </is>
      </c>
      <c r="R6" s="19" t="inlineStr">
        <is>
          <t>Pivotal</t>
        </is>
      </c>
      <c r="S6" s="12" t="n">
        <v>3</v>
      </c>
      <c r="T6" s="14" t="n">
        <v>46307</v>
      </c>
      <c r="U6" s="14">
        <f>T6+7</f>
        <v/>
      </c>
      <c r="V6" s="13" t="n"/>
      <c r="JL6" s="8" t="n"/>
    </row>
    <row r="7" customFormat="1" s="2">
      <c r="A7" s="12" t="inlineStr">
        <is>
          <t>189985</t>
        </is>
      </c>
      <c r="B7" s="12" t="n">
        <v>10324</v>
      </c>
      <c r="C7" s="12" t="inlineStr">
        <is>
          <t>10324</t>
        </is>
      </c>
      <c r="D7" s="12" t="inlineStr">
        <is>
          <t>07</t>
        </is>
      </c>
      <c r="E7" s="12" t="inlineStr">
        <is>
          <t>36</t>
        </is>
      </c>
      <c r="F7" s="12" t="inlineStr">
        <is>
          <t>05</t>
        </is>
      </c>
      <c r="G7" s="12" t="n">
        <v>149</v>
      </c>
      <c r="H7" s="12" t="inlineStr">
        <is>
          <t>6420 GASTON AVE.</t>
        </is>
      </c>
      <c r="I7" s="12" t="inlineStr">
        <is>
          <t>DALLAS</t>
        </is>
      </c>
      <c r="J7" s="12" t="inlineStr">
        <is>
          <t>TX</t>
        </is>
      </c>
      <c r="K7" s="12" t="inlineStr">
        <is>
          <t>75214</t>
        </is>
      </c>
      <c r="L7" s="12" t="inlineStr">
        <is>
          <t>Convenience</t>
        </is>
      </c>
      <c r="M7" s="12" t="inlineStr">
        <is>
          <t>Soto; Joseph</t>
        </is>
      </c>
      <c r="N7" s="12" t="inlineStr">
        <is>
          <t>Approved</t>
        </is>
      </c>
      <c r="O7" s="12" t="inlineStr">
        <is>
          <t>Store Labor</t>
        </is>
      </c>
      <c r="P7" s="12" t="n">
        <v>22</v>
      </c>
      <c r="Q7" s="19" t="inlineStr">
        <is>
          <t>Core CMCI</t>
        </is>
      </c>
      <c r="R7" s="12" t="inlineStr">
        <is>
          <t>N/A</t>
        </is>
      </c>
      <c r="S7" s="12" t="n">
        <v>4</v>
      </c>
      <c r="T7" s="14" t="n">
        <v>46307</v>
      </c>
      <c r="U7" s="14">
        <f>T7+7</f>
        <v/>
      </c>
      <c r="V7" s="13" t="n"/>
    </row>
    <row r="8" customFormat="1" s="2">
      <c r="A8" s="12" t="inlineStr">
        <is>
          <t>190033</t>
        </is>
      </c>
      <c r="B8" s="12" t="n">
        <v>10642</v>
      </c>
      <c r="C8" s="12" t="inlineStr">
        <is>
          <t>10642</t>
        </is>
      </c>
      <c r="D8" s="12" t="inlineStr">
        <is>
          <t>07</t>
        </is>
      </c>
      <c r="E8" s="12" t="inlineStr">
        <is>
          <t>37</t>
        </is>
      </c>
      <c r="F8" s="12" t="inlineStr">
        <is>
          <t>05</t>
        </is>
      </c>
      <c r="G8" s="12" t="n">
        <v>149</v>
      </c>
      <c r="H8" s="12" t="inlineStr">
        <is>
          <t>1101 FM 2181</t>
        </is>
      </c>
      <c r="I8" s="12" t="inlineStr">
        <is>
          <t>CORINTH</t>
        </is>
      </c>
      <c r="J8" s="12" t="inlineStr">
        <is>
          <t>TX</t>
        </is>
      </c>
      <c r="K8" s="12" t="inlineStr">
        <is>
          <t>76210</t>
        </is>
      </c>
      <c r="L8" s="12" t="inlineStr">
        <is>
          <t>Freestanding</t>
        </is>
      </c>
      <c r="M8" s="12" t="inlineStr">
        <is>
          <t>Soto; Joseph</t>
        </is>
      </c>
      <c r="N8" s="12" t="inlineStr">
        <is>
          <t>Approved</t>
        </is>
      </c>
      <c r="O8" s="12" t="inlineStr">
        <is>
          <t>MV</t>
        </is>
      </c>
      <c r="P8" s="12" t="n">
        <v>34</v>
      </c>
      <c r="Q8" s="19" t="inlineStr">
        <is>
          <t>Core CMCI</t>
        </is>
      </c>
      <c r="R8" s="19" t="inlineStr">
        <is>
          <t>Channel Partners</t>
        </is>
      </c>
      <c r="S8" s="12" t="n">
        <v>3</v>
      </c>
      <c r="T8" s="14" t="n">
        <v>46307</v>
      </c>
      <c r="U8" s="14">
        <f>T8+7</f>
        <v/>
      </c>
      <c r="V8" s="13" t="n"/>
      <c r="JL8" s="10" t="n"/>
    </row>
    <row r="9" customFormat="1" s="2">
      <c r="A9" s="12" t="inlineStr">
        <is>
          <t>189518</t>
        </is>
      </c>
      <c r="B9" s="12" t="n">
        <v>7092</v>
      </c>
      <c r="C9" s="12" t="inlineStr">
        <is>
          <t>07092</t>
        </is>
      </c>
      <c r="D9" s="12" t="inlineStr">
        <is>
          <t>07</t>
        </is>
      </c>
      <c r="E9" s="12" t="inlineStr">
        <is>
          <t>33</t>
        </is>
      </c>
      <c r="F9" s="12" t="inlineStr">
        <is>
          <t>02</t>
        </is>
      </c>
      <c r="G9" s="12" t="n">
        <v>145</v>
      </c>
      <c r="H9" s="12" t="inlineStr">
        <is>
          <t>110 W. 20TH ST.</t>
        </is>
      </c>
      <c r="I9" s="12" t="inlineStr">
        <is>
          <t>HOUSTON</t>
        </is>
      </c>
      <c r="J9" s="12" t="inlineStr">
        <is>
          <t>TX</t>
        </is>
      </c>
      <c r="K9" s="12" t="inlineStr">
        <is>
          <t>77008</t>
        </is>
      </c>
      <c r="L9" s="12" t="inlineStr">
        <is>
          <t>Freestanding</t>
        </is>
      </c>
      <c r="M9" s="12" t="inlineStr">
        <is>
          <t>Cathey; Chris C.</t>
        </is>
      </c>
      <c r="N9" s="12" t="inlineStr">
        <is>
          <t>Approved</t>
        </is>
      </c>
      <c r="O9" s="12" t="inlineStr">
        <is>
          <t>MV</t>
        </is>
      </c>
      <c r="P9" s="12" t="n">
        <v>70</v>
      </c>
      <c r="Q9" s="19" t="inlineStr">
        <is>
          <t>Core CMCI</t>
        </is>
      </c>
      <c r="R9" s="19" t="inlineStr">
        <is>
          <t>Pivotal</t>
        </is>
      </c>
      <c r="S9" s="12" t="n">
        <v>3</v>
      </c>
      <c r="T9" s="14" t="n">
        <v>46314</v>
      </c>
      <c r="U9" s="14">
        <f>T9+7</f>
        <v/>
      </c>
      <c r="V9" s="13" t="n"/>
      <c r="JL9" s="6" t="n"/>
    </row>
    <row r="10" customFormat="1" s="2">
      <c r="A10" s="12" t="inlineStr">
        <is>
          <t>189171</t>
        </is>
      </c>
      <c r="B10" s="12" t="n">
        <v>1996</v>
      </c>
      <c r="C10" s="12" t="inlineStr">
        <is>
          <t>01996</t>
        </is>
      </c>
      <c r="D10" s="12" t="inlineStr">
        <is>
          <t>07</t>
        </is>
      </c>
      <c r="E10" s="12" t="inlineStr">
        <is>
          <t>34</t>
        </is>
      </c>
      <c r="F10" s="12" t="inlineStr">
        <is>
          <t>01</t>
        </is>
      </c>
      <c r="G10" s="12" t="n">
        <v>146</v>
      </c>
      <c r="H10" s="12" t="inlineStr">
        <is>
          <t>24950 FRANZ RD.</t>
        </is>
      </c>
      <c r="I10" s="12" t="inlineStr">
        <is>
          <t>KATY</t>
        </is>
      </c>
      <c r="J10" s="12" t="inlineStr">
        <is>
          <t>TX</t>
        </is>
      </c>
      <c r="K10" s="12" t="inlineStr">
        <is>
          <t>77493</t>
        </is>
      </c>
      <c r="L10" s="12" t="inlineStr">
        <is>
          <t>Freestanding</t>
        </is>
      </c>
      <c r="M10" s="12" t="inlineStr">
        <is>
          <t>Soto; Joseph</t>
        </is>
      </c>
      <c r="N10" s="12" t="inlineStr">
        <is>
          <t>Approved</t>
        </is>
      </c>
      <c r="O10" s="12" t="inlineStr">
        <is>
          <t>Store Labor</t>
        </is>
      </c>
      <c r="P10" s="12" t="n">
        <v>38</v>
      </c>
      <c r="Q10" s="19" t="inlineStr">
        <is>
          <t>Core CMCI</t>
        </is>
      </c>
      <c r="R10" s="12" t="inlineStr">
        <is>
          <t>N/A</t>
        </is>
      </c>
      <c r="S10" s="12" t="n">
        <v>3</v>
      </c>
      <c r="T10" s="14" t="n">
        <v>46314</v>
      </c>
      <c r="U10" s="14">
        <f>T10+7</f>
        <v/>
      </c>
      <c r="V10" s="13" t="n"/>
      <c r="JL10" s="11" t="n"/>
    </row>
    <row r="11" customFormat="1" s="2">
      <c r="A11" s="12" t="inlineStr">
        <is>
          <t>190024</t>
        </is>
      </c>
      <c r="B11" s="12" t="n">
        <v>10671</v>
      </c>
      <c r="C11" s="12" t="inlineStr">
        <is>
          <t>10671</t>
        </is>
      </c>
      <c r="D11" s="12" t="inlineStr">
        <is>
          <t>07</t>
        </is>
      </c>
      <c r="E11" s="12" t="inlineStr">
        <is>
          <t>34</t>
        </is>
      </c>
      <c r="F11" s="12" t="inlineStr">
        <is>
          <t>04</t>
        </is>
      </c>
      <c r="G11" s="12" t="n">
        <v>146</v>
      </c>
      <c r="H11" s="12" t="inlineStr">
        <is>
          <t>10420 FM 1464</t>
        </is>
      </c>
      <c r="I11" s="12" t="inlineStr">
        <is>
          <t>RICHMOND</t>
        </is>
      </c>
      <c r="J11" s="12" t="inlineStr">
        <is>
          <t>TX</t>
        </is>
      </c>
      <c r="K11" s="12" t="inlineStr">
        <is>
          <t>77407</t>
        </is>
      </c>
      <c r="L11" s="12" t="inlineStr">
        <is>
          <t>Freestanding</t>
        </is>
      </c>
      <c r="M11" s="12" t="inlineStr">
        <is>
          <t>Soto; Joseph</t>
        </is>
      </c>
      <c r="N11" s="12" t="inlineStr">
        <is>
          <t>Approved</t>
        </is>
      </c>
      <c r="O11" s="12" t="inlineStr">
        <is>
          <t>Store Labor</t>
        </is>
      </c>
      <c r="P11" s="12" t="n">
        <v>8</v>
      </c>
      <c r="Q11" s="19" t="inlineStr">
        <is>
          <t>Core CMCI</t>
        </is>
      </c>
      <c r="R11" s="12" t="inlineStr">
        <is>
          <t>N/A</t>
        </is>
      </c>
      <c r="S11" s="12" t="n">
        <v>3</v>
      </c>
      <c r="T11" s="14" t="n">
        <v>46314</v>
      </c>
      <c r="U11" s="14">
        <f>T11+7</f>
        <v/>
      </c>
      <c r="V11" s="13" t="n"/>
      <c r="JL11" s="6" t="n"/>
    </row>
    <row r="12" customFormat="1" s="2">
      <c r="A12" s="12" t="inlineStr">
        <is>
          <t>190025</t>
        </is>
      </c>
      <c r="B12" s="12" t="n">
        <v>10637</v>
      </c>
      <c r="C12" s="12" t="inlineStr">
        <is>
          <t>10637</t>
        </is>
      </c>
      <c r="D12" s="12" t="inlineStr">
        <is>
          <t>07</t>
        </is>
      </c>
      <c r="E12" s="12" t="inlineStr">
        <is>
          <t>34</t>
        </is>
      </c>
      <c r="F12" s="12" t="inlineStr">
        <is>
          <t>04</t>
        </is>
      </c>
      <c r="G12" s="12" t="n">
        <v>147</v>
      </c>
      <c r="H12" s="12" t="inlineStr">
        <is>
          <t>6750 READING ROAD</t>
        </is>
      </c>
      <c r="I12" s="12" t="inlineStr">
        <is>
          <t>ROSENBERG</t>
        </is>
      </c>
      <c r="J12" s="12" t="inlineStr">
        <is>
          <t>TX</t>
        </is>
      </c>
      <c r="K12" s="12" t="inlineStr">
        <is>
          <t>77471</t>
        </is>
      </c>
      <c r="L12" s="12" t="inlineStr">
        <is>
          <t>Freestanding</t>
        </is>
      </c>
      <c r="M12" s="12" t="inlineStr">
        <is>
          <t>Soto; Joseph</t>
        </is>
      </c>
      <c r="N12" s="12" t="inlineStr">
        <is>
          <t>Approved</t>
        </is>
      </c>
      <c r="O12" s="12" t="inlineStr">
        <is>
          <t>Store Labor</t>
        </is>
      </c>
      <c r="P12" s="12" t="n">
        <v>14</v>
      </c>
      <c r="Q12" s="19" t="inlineStr">
        <is>
          <t>Core CMCI</t>
        </is>
      </c>
      <c r="R12" s="12" t="inlineStr">
        <is>
          <t>N/A</t>
        </is>
      </c>
      <c r="S12" s="12" t="n">
        <v>3</v>
      </c>
      <c r="T12" s="14" t="n">
        <v>46314</v>
      </c>
      <c r="U12" s="14">
        <f>T12+7</f>
        <v/>
      </c>
      <c r="V12" s="13" t="n"/>
    </row>
    <row r="13" customFormat="1" s="4">
      <c r="A13" s="12" t="inlineStr">
        <is>
          <t>190026</t>
        </is>
      </c>
      <c r="B13" s="12" t="n">
        <v>10875</v>
      </c>
      <c r="C13" s="12" t="inlineStr">
        <is>
          <t>10875</t>
        </is>
      </c>
      <c r="D13" s="12" t="inlineStr">
        <is>
          <t>07</t>
        </is>
      </c>
      <c r="E13" s="12" t="inlineStr">
        <is>
          <t>35</t>
        </is>
      </c>
      <c r="F13" s="12" t="inlineStr">
        <is>
          <t>01</t>
        </is>
      </c>
      <c r="G13" s="12" t="n">
        <v>147</v>
      </c>
      <c r="H13" s="12" t="inlineStr">
        <is>
          <t>3000 RM 1431</t>
        </is>
      </c>
      <c r="I13" s="12" t="inlineStr">
        <is>
          <t>ROUND ROCK</t>
        </is>
      </c>
      <c r="J13" s="12" t="inlineStr">
        <is>
          <t>TX</t>
        </is>
      </c>
      <c r="K13" s="12" t="inlineStr">
        <is>
          <t>78681</t>
        </is>
      </c>
      <c r="L13" s="12" t="inlineStr">
        <is>
          <t>Freestanding</t>
        </is>
      </c>
      <c r="M13" s="12" t="inlineStr">
        <is>
          <t>Soto; Joseph</t>
        </is>
      </c>
      <c r="N13" s="12" t="inlineStr">
        <is>
          <t>Approved</t>
        </is>
      </c>
      <c r="O13" s="12" t="inlineStr">
        <is>
          <t>Store Labor</t>
        </is>
      </c>
      <c r="P13" s="12" t="n">
        <v>10</v>
      </c>
      <c r="Q13" s="19" t="inlineStr">
        <is>
          <t>Core CMCI</t>
        </is>
      </c>
      <c r="R13" s="12" t="inlineStr">
        <is>
          <t>N/A</t>
        </is>
      </c>
      <c r="S13" s="12" t="n">
        <v>3</v>
      </c>
      <c r="T13" s="14" t="n">
        <v>46314</v>
      </c>
      <c r="U13" s="14">
        <f>T13+7</f>
        <v/>
      </c>
      <c r="V13" s="13" t="n"/>
    </row>
    <row r="14" customFormat="1" s="4">
      <c r="A14" s="12" t="inlineStr">
        <is>
          <t>190029</t>
        </is>
      </c>
      <c r="B14" s="12" t="n">
        <v>10750</v>
      </c>
      <c r="C14" s="12" t="inlineStr">
        <is>
          <t>10750</t>
        </is>
      </c>
      <c r="D14" s="12" t="inlineStr">
        <is>
          <t>07</t>
        </is>
      </c>
      <c r="E14" s="12" t="inlineStr">
        <is>
          <t>35</t>
        </is>
      </c>
      <c r="F14" s="12" t="inlineStr">
        <is>
          <t>04</t>
        </is>
      </c>
      <c r="G14" s="12" t="n">
        <v>148</v>
      </c>
      <c r="H14" s="12" t="inlineStr">
        <is>
          <t>9050 FM 1560 N</t>
        </is>
      </c>
      <c r="I14" s="12" t="inlineStr">
        <is>
          <t>SAN ANTONIO</t>
        </is>
      </c>
      <c r="J14" s="12" t="inlineStr">
        <is>
          <t>TX</t>
        </is>
      </c>
      <c r="K14" s="12" t="inlineStr">
        <is>
          <t>78254</t>
        </is>
      </c>
      <c r="L14" s="12" t="inlineStr">
        <is>
          <t>Freestanding</t>
        </is>
      </c>
      <c r="M14" s="12" t="inlineStr">
        <is>
          <t>Soto; Joseph</t>
        </is>
      </c>
      <c r="N14" s="12" t="inlineStr">
        <is>
          <t>Approved</t>
        </is>
      </c>
      <c r="O14" s="12" t="inlineStr">
        <is>
          <t>MV</t>
        </is>
      </c>
      <c r="P14" s="12" t="n">
        <v>40</v>
      </c>
      <c r="Q14" s="19" t="inlineStr">
        <is>
          <t>Core CMCI</t>
        </is>
      </c>
      <c r="R14" s="19" t="inlineStr">
        <is>
          <t>Pivotal</t>
        </is>
      </c>
      <c r="S14" s="12" t="n">
        <v>3</v>
      </c>
      <c r="T14" s="14" t="n">
        <v>46314</v>
      </c>
      <c r="U14" s="14">
        <f>T14+7</f>
        <v/>
      </c>
      <c r="V14" s="13" t="n"/>
      <c r="JL14" s="8" t="n"/>
    </row>
    <row r="15" customFormat="1" s="11">
      <c r="A15" s="12" t="inlineStr">
        <is>
          <t>190028</t>
        </is>
      </c>
      <c r="B15" s="12" t="n">
        <v>10947</v>
      </c>
      <c r="C15" s="12" t="inlineStr">
        <is>
          <t>10947</t>
        </is>
      </c>
      <c r="D15" s="12" t="inlineStr">
        <is>
          <t>07</t>
        </is>
      </c>
      <c r="E15" s="12" t="inlineStr">
        <is>
          <t>35</t>
        </is>
      </c>
      <c r="F15" s="12" t="inlineStr">
        <is>
          <t>03</t>
        </is>
      </c>
      <c r="G15" s="12" t="n">
        <v>148</v>
      </c>
      <c r="H15" s="12" t="inlineStr">
        <is>
          <t>1910 STATE HIGHWAY 46 W</t>
        </is>
      </c>
      <c r="I15" s="12" t="inlineStr">
        <is>
          <t>NEW BRAUNFELS</t>
        </is>
      </c>
      <c r="J15" s="12" t="inlineStr">
        <is>
          <t>TX</t>
        </is>
      </c>
      <c r="K15" s="12" t="inlineStr">
        <is>
          <t>78132</t>
        </is>
      </c>
      <c r="L15" s="12" t="inlineStr">
        <is>
          <t>Freestanding</t>
        </is>
      </c>
      <c r="M15" s="12" t="inlineStr">
        <is>
          <t>Soto; Joseph</t>
        </is>
      </c>
      <c r="N15" s="12" t="inlineStr">
        <is>
          <t>Approved</t>
        </is>
      </c>
      <c r="O15" s="12" t="inlineStr">
        <is>
          <t>Store Labor</t>
        </is>
      </c>
      <c r="P15" s="12" t="n">
        <v>6</v>
      </c>
      <c r="Q15" s="19" t="inlineStr">
        <is>
          <t>Core CMCI</t>
        </is>
      </c>
      <c r="R15" s="12" t="inlineStr">
        <is>
          <t>N/A</t>
        </is>
      </c>
      <c r="S15" s="12" t="n">
        <v>3</v>
      </c>
      <c r="T15" s="14" t="n">
        <v>46314</v>
      </c>
      <c r="U15" s="14">
        <f>T15+7</f>
        <v/>
      </c>
      <c r="V15" s="13" t="n"/>
      <c r="JL15" s="8" t="n"/>
    </row>
    <row r="16" customFormat="1" s="4">
      <c r="A16" s="12" t="inlineStr">
        <is>
          <t>189620</t>
        </is>
      </c>
      <c r="B16" s="12" t="n">
        <v>8345</v>
      </c>
      <c r="C16" s="12" t="inlineStr">
        <is>
          <t>08345</t>
        </is>
      </c>
      <c r="D16" s="12" t="inlineStr">
        <is>
          <t>07</t>
        </is>
      </c>
      <c r="E16" s="12" t="inlineStr">
        <is>
          <t>37</t>
        </is>
      </c>
      <c r="F16" s="12" t="inlineStr">
        <is>
          <t>02</t>
        </is>
      </c>
      <c r="G16" s="12" t="n">
        <v>149</v>
      </c>
      <c r="H16" s="12" t="inlineStr">
        <is>
          <t>5195 LAKE RIDGE PKWY.</t>
        </is>
      </c>
      <c r="I16" s="12" t="inlineStr">
        <is>
          <t>GRAND PRAIRIE</t>
        </is>
      </c>
      <c r="J16" s="12" t="inlineStr">
        <is>
          <t>TX</t>
        </is>
      </c>
      <c r="K16" s="12" t="inlineStr">
        <is>
          <t>75052</t>
        </is>
      </c>
      <c r="L16" s="12" t="inlineStr">
        <is>
          <t>Freestanding</t>
        </is>
      </c>
      <c r="M16" s="12" t="inlineStr">
        <is>
          <t>Soto; Joseph</t>
        </is>
      </c>
      <c r="N16" s="12" t="inlineStr">
        <is>
          <t>Approved</t>
        </is>
      </c>
      <c r="O16" s="12" t="inlineStr">
        <is>
          <t>N/A</t>
        </is>
      </c>
      <c r="P16" s="12" t="n">
        <v>0</v>
      </c>
      <c r="Q16" s="19" t="inlineStr">
        <is>
          <t>Core CMCI</t>
        </is>
      </c>
      <c r="R16" s="12" t="inlineStr">
        <is>
          <t>N/A</t>
        </is>
      </c>
      <c r="S16" s="12" t="inlineStr">
        <is>
          <t>2 - Right Hinge</t>
        </is>
      </c>
      <c r="T16" s="14" t="n">
        <v>46314</v>
      </c>
      <c r="U16" s="14">
        <f>T16+7</f>
        <v/>
      </c>
      <c r="V16" s="13" t="n"/>
      <c r="JL16" s="11" t="n"/>
    </row>
    <row r="17" customFormat="1" s="4">
      <c r="A17" s="12" t="inlineStr">
        <is>
          <t>189473</t>
        </is>
      </c>
      <c r="B17" s="12" t="n">
        <v>6865</v>
      </c>
      <c r="C17" s="12" t="inlineStr">
        <is>
          <t>06865</t>
        </is>
      </c>
      <c r="D17" s="12" t="inlineStr">
        <is>
          <t>07</t>
        </is>
      </c>
      <c r="E17" s="12" t="inlineStr">
        <is>
          <t>37</t>
        </is>
      </c>
      <c r="F17" s="12" t="inlineStr">
        <is>
          <t>03</t>
        </is>
      </c>
      <c r="G17" s="12" t="n">
        <v>149</v>
      </c>
      <c r="H17" s="12" t="inlineStr">
        <is>
          <t>1099 W. MAIN ST</t>
        </is>
      </c>
      <c r="I17" s="12" t="inlineStr">
        <is>
          <t>LEWISVILLE</t>
        </is>
      </c>
      <c r="J17" s="12" t="inlineStr">
        <is>
          <t>TX</t>
        </is>
      </c>
      <c r="K17" s="12" t="inlineStr">
        <is>
          <t>75067</t>
        </is>
      </c>
      <c r="L17" s="12" t="inlineStr">
        <is>
          <t>Freestanding</t>
        </is>
      </c>
      <c r="M17" s="12" t="inlineStr">
        <is>
          <t>Soto; Joseph</t>
        </is>
      </c>
      <c r="N17" s="12" t="inlineStr">
        <is>
          <t>Approved</t>
        </is>
      </c>
      <c r="O17" s="12" t="inlineStr">
        <is>
          <t>MV</t>
        </is>
      </c>
      <c r="P17" s="12" t="n">
        <v>52</v>
      </c>
      <c r="Q17" s="19" t="inlineStr">
        <is>
          <t>Core CMCI</t>
        </is>
      </c>
      <c r="R17" s="19" t="inlineStr">
        <is>
          <t>Channel Partners</t>
        </is>
      </c>
      <c r="S17" s="12" t="n">
        <v>4</v>
      </c>
      <c r="T17" s="14" t="n">
        <v>46314</v>
      </c>
      <c r="U17" s="14">
        <f>T17+7</f>
        <v/>
      </c>
      <c r="V17" s="13" t="n"/>
      <c r="JL17" s="2" t="n"/>
    </row>
    <row r="18" customFormat="1" s="4">
      <c r="A18" s="12" t="inlineStr">
        <is>
          <t>189419</t>
        </is>
      </c>
      <c r="B18" s="12" t="n">
        <v>5839</v>
      </c>
      <c r="C18" s="12" t="inlineStr">
        <is>
          <t>05839</t>
        </is>
      </c>
      <c r="D18" s="12" t="inlineStr">
        <is>
          <t>07</t>
        </is>
      </c>
      <c r="E18" s="12" t="inlineStr">
        <is>
          <t>33</t>
        </is>
      </c>
      <c r="F18" s="12" t="inlineStr">
        <is>
          <t>01</t>
        </is>
      </c>
      <c r="G18" s="12" t="n">
        <v>145</v>
      </c>
      <c r="H18" s="12" t="inlineStr">
        <is>
          <t>8960 BARKER CYPRESS RD.</t>
        </is>
      </c>
      <c r="I18" s="12" t="inlineStr">
        <is>
          <t>CYPRESS</t>
        </is>
      </c>
      <c r="J18" s="12" t="inlineStr">
        <is>
          <t>TX</t>
        </is>
      </c>
      <c r="K18" s="12" t="inlineStr">
        <is>
          <t>77433</t>
        </is>
      </c>
      <c r="L18" s="12" t="inlineStr">
        <is>
          <t>Freestanding</t>
        </is>
      </c>
      <c r="M18" s="12" t="inlineStr">
        <is>
          <t>Cathey; Chris C.</t>
        </is>
      </c>
      <c r="N18" s="12" t="inlineStr">
        <is>
          <t>Approved</t>
        </is>
      </c>
      <c r="O18" s="12" t="inlineStr">
        <is>
          <t>MV</t>
        </is>
      </c>
      <c r="P18" s="12" t="n">
        <v>10</v>
      </c>
      <c r="Q18" s="19" t="inlineStr">
        <is>
          <t>Core CMCI</t>
        </is>
      </c>
      <c r="R18" s="19" t="inlineStr">
        <is>
          <t>Pivotal</t>
        </is>
      </c>
      <c r="S18" s="12" t="n">
        <v>3</v>
      </c>
      <c r="T18" s="14" t="n">
        <v>46321</v>
      </c>
      <c r="U18" s="14">
        <f>T18+7</f>
        <v/>
      </c>
      <c r="V18" s="13" t="n"/>
      <c r="JL18" s="6" t="n"/>
    </row>
    <row r="19">
      <c r="A19" s="12" t="inlineStr">
        <is>
          <t>189977</t>
        </is>
      </c>
      <c r="B19" s="12" t="n">
        <v>10594</v>
      </c>
      <c r="C19" s="12" t="inlineStr">
        <is>
          <t>10594</t>
        </is>
      </c>
      <c r="D19" s="12" t="inlineStr">
        <is>
          <t>07</t>
        </is>
      </c>
      <c r="E19" s="12" t="inlineStr">
        <is>
          <t>32</t>
        </is>
      </c>
      <c r="F19" s="12" t="inlineStr">
        <is>
          <t>03</t>
        </is>
      </c>
      <c r="G19" s="12" t="n">
        <v>145</v>
      </c>
      <c r="H19" s="12" t="inlineStr">
        <is>
          <t>500 N. CARROLLTON AVE.</t>
        </is>
      </c>
      <c r="I19" s="12" t="inlineStr">
        <is>
          <t>NEW ORLEANS</t>
        </is>
      </c>
      <c r="J19" s="12" t="inlineStr">
        <is>
          <t>LA</t>
        </is>
      </c>
      <c r="K19" s="12" t="inlineStr">
        <is>
          <t>70119</t>
        </is>
      </c>
      <c r="L19" s="12" t="inlineStr">
        <is>
          <t>Freestanding</t>
        </is>
      </c>
      <c r="M19" s="12" t="inlineStr">
        <is>
          <t>Cathey; Chris C.</t>
        </is>
      </c>
      <c r="N19" s="12" t="inlineStr">
        <is>
          <t>Approved</t>
        </is>
      </c>
      <c r="O19" s="12" t="inlineStr">
        <is>
          <t>Store Labor</t>
        </is>
      </c>
      <c r="P19" s="12" t="n">
        <v>34</v>
      </c>
      <c r="Q19" s="19" t="inlineStr">
        <is>
          <t>Core CMCI</t>
        </is>
      </c>
      <c r="R19" s="12" t="inlineStr">
        <is>
          <t>N/A</t>
        </is>
      </c>
      <c r="S19" s="12" t="n">
        <v>3</v>
      </c>
      <c r="T19" s="14" t="n">
        <v>46321</v>
      </c>
      <c r="U19" s="14">
        <f>T19+7</f>
        <v/>
      </c>
      <c r="V19" s="13" t="n"/>
      <c r="JL19" s="6" t="n"/>
    </row>
    <row r="20" customFormat="1" s="11">
      <c r="A20" s="12" t="inlineStr">
        <is>
          <t>189422</t>
        </is>
      </c>
      <c r="B20" s="12" t="n">
        <v>5651</v>
      </c>
      <c r="C20" s="12" t="inlineStr">
        <is>
          <t>05651</t>
        </is>
      </c>
      <c r="D20" s="12" t="inlineStr">
        <is>
          <t>07</t>
        </is>
      </c>
      <c r="E20" s="12" t="inlineStr">
        <is>
          <t>34</t>
        </is>
      </c>
      <c r="F20" s="12" t="inlineStr">
        <is>
          <t>02</t>
        </is>
      </c>
      <c r="G20" s="12" t="n">
        <v>146</v>
      </c>
      <c r="H20" s="12" t="inlineStr">
        <is>
          <t>1602 EAST HIGHWAY 83</t>
        </is>
      </c>
      <c r="I20" s="12" t="inlineStr">
        <is>
          <t>WESLACO</t>
        </is>
      </c>
      <c r="J20" s="12" t="inlineStr">
        <is>
          <t>TX</t>
        </is>
      </c>
      <c r="K20" s="12" t="inlineStr">
        <is>
          <t>78596</t>
        </is>
      </c>
      <c r="L20" s="12" t="inlineStr">
        <is>
          <t>Freestanding</t>
        </is>
      </c>
      <c r="M20" s="12" t="inlineStr">
        <is>
          <t>Soto; Joseph</t>
        </is>
      </c>
      <c r="N20" s="12" t="inlineStr">
        <is>
          <t>Approved</t>
        </is>
      </c>
      <c r="O20" s="12" t="inlineStr">
        <is>
          <t>MV</t>
        </is>
      </c>
      <c r="P20" s="12" t="n">
        <v>52</v>
      </c>
      <c r="Q20" s="19" t="inlineStr">
        <is>
          <t>Core CMCI</t>
        </is>
      </c>
      <c r="R20" s="19" t="inlineStr">
        <is>
          <t>Merchco</t>
        </is>
      </c>
      <c r="S20" s="12" t="n">
        <v>4</v>
      </c>
      <c r="T20" s="14" t="n">
        <v>46321</v>
      </c>
      <c r="U20" s="14">
        <f>T20+7</f>
        <v/>
      </c>
      <c r="V20" s="13" t="n"/>
      <c r="JL20" s="6" t="n"/>
    </row>
    <row r="21" customFormat="1" s="11">
      <c r="A21" s="12" t="inlineStr">
        <is>
          <t>189421</t>
        </is>
      </c>
      <c r="B21" s="12" t="n">
        <v>5884</v>
      </c>
      <c r="C21" s="12" t="inlineStr">
        <is>
          <t>05884</t>
        </is>
      </c>
      <c r="D21" s="12" t="inlineStr">
        <is>
          <t>07</t>
        </is>
      </c>
      <c r="E21" s="12" t="inlineStr">
        <is>
          <t>34</t>
        </is>
      </c>
      <c r="F21" s="12" t="inlineStr">
        <is>
          <t>01</t>
        </is>
      </c>
      <c r="G21" s="12" t="n">
        <v>146</v>
      </c>
      <c r="H21" s="12" t="inlineStr">
        <is>
          <t>12260 BELLAIRE BLVD.</t>
        </is>
      </c>
      <c r="I21" s="12" t="inlineStr">
        <is>
          <t>HOUSTON</t>
        </is>
      </c>
      <c r="J21" s="12" t="inlineStr">
        <is>
          <t>TX</t>
        </is>
      </c>
      <c r="K21" s="12" t="inlineStr">
        <is>
          <t>77072</t>
        </is>
      </c>
      <c r="L21" s="12" t="inlineStr">
        <is>
          <t>Freestanding</t>
        </is>
      </c>
      <c r="M21" s="12" t="inlineStr">
        <is>
          <t>Soto; Joseph</t>
        </is>
      </c>
      <c r="N21" s="12" t="inlineStr">
        <is>
          <t>Approved</t>
        </is>
      </c>
      <c r="O21" s="12" t="inlineStr">
        <is>
          <t>Store Labor</t>
        </is>
      </c>
      <c r="P21" s="12" t="n">
        <v>30</v>
      </c>
      <c r="Q21" s="19" t="inlineStr">
        <is>
          <t>Core CMCI</t>
        </is>
      </c>
      <c r="R21" s="12" t="inlineStr">
        <is>
          <t>N/A</t>
        </is>
      </c>
      <c r="S21" s="12" t="n">
        <v>3</v>
      </c>
      <c r="T21" s="14" t="n">
        <v>46321</v>
      </c>
      <c r="U21" s="14">
        <f>T21+7</f>
        <v/>
      </c>
      <c r="V21" s="13" t="n"/>
      <c r="JL21" s="1" t="n"/>
    </row>
    <row r="22" customFormat="1" s="2">
      <c r="A22" s="12" t="inlineStr">
        <is>
          <t>189523</t>
        </is>
      </c>
      <c r="B22" s="12" t="n">
        <v>7805</v>
      </c>
      <c r="C22" s="12" t="inlineStr">
        <is>
          <t>07805</t>
        </is>
      </c>
      <c r="D22" s="12" t="inlineStr">
        <is>
          <t>07</t>
        </is>
      </c>
      <c r="E22" s="12" t="inlineStr">
        <is>
          <t>34</t>
        </is>
      </c>
      <c r="F22" s="12" t="inlineStr">
        <is>
          <t>04</t>
        </is>
      </c>
      <c r="G22" s="12" t="n">
        <v>147</v>
      </c>
      <c r="H22" s="12" t="inlineStr">
        <is>
          <t>5757 NEW TERRITORY BLVD</t>
        </is>
      </c>
      <c r="I22" s="12" t="inlineStr">
        <is>
          <t>SUGAR LAND</t>
        </is>
      </c>
      <c r="J22" s="12" t="inlineStr">
        <is>
          <t>TX</t>
        </is>
      </c>
      <c r="K22" s="12" t="inlineStr">
        <is>
          <t>77479</t>
        </is>
      </c>
      <c r="L22" s="12" t="inlineStr">
        <is>
          <t>Freestanding</t>
        </is>
      </c>
      <c r="M22" s="12" t="inlineStr">
        <is>
          <t>Soto; Joseph</t>
        </is>
      </c>
      <c r="N22" s="12" t="inlineStr">
        <is>
          <t>Approved</t>
        </is>
      </c>
      <c r="O22" s="12" t="inlineStr">
        <is>
          <t>N/A</t>
        </is>
      </c>
      <c r="P22" s="12" t="n">
        <v>0</v>
      </c>
      <c r="Q22" s="19" t="inlineStr">
        <is>
          <t>Core CMCI</t>
        </is>
      </c>
      <c r="R22" s="12" t="inlineStr">
        <is>
          <t>N/A</t>
        </is>
      </c>
      <c r="S22" s="12" t="n">
        <v>3</v>
      </c>
      <c r="T22" s="14" t="n">
        <v>46321</v>
      </c>
      <c r="U22" s="14">
        <f>T22+7</f>
        <v/>
      </c>
      <c r="V22" s="13" t="n"/>
      <c r="JL22" s="1" t="n"/>
    </row>
    <row r="23" customFormat="1" s="2">
      <c r="A23" s="12" t="inlineStr">
        <is>
          <t>189425</t>
        </is>
      </c>
      <c r="B23" s="12" t="n">
        <v>5776</v>
      </c>
      <c r="C23" s="12" t="inlineStr">
        <is>
          <t>05776</t>
        </is>
      </c>
      <c r="D23" s="12" t="inlineStr">
        <is>
          <t>07</t>
        </is>
      </c>
      <c r="E23" s="12" t="inlineStr">
        <is>
          <t>35</t>
        </is>
      </c>
      <c r="F23" s="12" t="inlineStr">
        <is>
          <t>02</t>
        </is>
      </c>
      <c r="G23" s="12" t="n">
        <v>147</v>
      </c>
      <c r="H23" s="12" t="inlineStr">
        <is>
          <t>105 WONDERWORLD DRIVE</t>
        </is>
      </c>
      <c r="I23" s="12" t="inlineStr">
        <is>
          <t>SAN MARCOS</t>
        </is>
      </c>
      <c r="J23" s="12" t="inlineStr">
        <is>
          <t>TX</t>
        </is>
      </c>
      <c r="K23" s="12" t="inlineStr">
        <is>
          <t>78666</t>
        </is>
      </c>
      <c r="L23" s="12" t="inlineStr">
        <is>
          <t>Freestanding Pad</t>
        </is>
      </c>
      <c r="M23" s="12" t="inlineStr">
        <is>
          <t>Soto; Joseph</t>
        </is>
      </c>
      <c r="N23" s="12" t="inlineStr">
        <is>
          <t>Approved</t>
        </is>
      </c>
      <c r="O23" s="12" t="inlineStr">
        <is>
          <t>MV</t>
        </is>
      </c>
      <c r="P23" s="12" t="n">
        <v>74</v>
      </c>
      <c r="Q23" s="19" t="inlineStr">
        <is>
          <t>Core CMCI</t>
        </is>
      </c>
      <c r="R23" s="19" t="inlineStr">
        <is>
          <t>Merchco</t>
        </is>
      </c>
      <c r="S23" s="12" t="n">
        <v>3</v>
      </c>
      <c r="T23" s="14" t="n">
        <v>46321</v>
      </c>
      <c r="U23" s="14">
        <f>T23+7</f>
        <v/>
      </c>
      <c r="V23" s="13" t="n"/>
      <c r="JL23" s="8" t="n"/>
    </row>
    <row r="24" customFormat="1" s="2">
      <c r="A24" s="12" t="inlineStr">
        <is>
          <t>189074</t>
        </is>
      </c>
      <c r="B24" s="12" t="n">
        <v>1430</v>
      </c>
      <c r="C24" s="12" t="inlineStr">
        <is>
          <t>01430</t>
        </is>
      </c>
      <c r="D24" s="12" t="inlineStr">
        <is>
          <t>07</t>
        </is>
      </c>
      <c r="E24" s="12" t="inlineStr">
        <is>
          <t>35</t>
        </is>
      </c>
      <c r="F24" s="12" t="inlineStr">
        <is>
          <t>02</t>
        </is>
      </c>
      <c r="G24" s="12" t="n">
        <v>148</v>
      </c>
      <c r="H24" s="12" t="inlineStr">
        <is>
          <t>2101 S. LAMAR BLVD., UNIT B</t>
        </is>
      </c>
      <c r="I24" s="12" t="inlineStr">
        <is>
          <t>AUSTIN</t>
        </is>
      </c>
      <c r="J24" s="12" t="inlineStr">
        <is>
          <t>TX</t>
        </is>
      </c>
      <c r="K24" s="12" t="inlineStr">
        <is>
          <t>78704</t>
        </is>
      </c>
      <c r="L24" s="12" t="inlineStr">
        <is>
          <t>Strip Shopping Center</t>
        </is>
      </c>
      <c r="M24" s="12" t="inlineStr">
        <is>
          <t>Soto; Joseph</t>
        </is>
      </c>
      <c r="N24" s="12" t="inlineStr">
        <is>
          <t>Approved</t>
        </is>
      </c>
      <c r="O24" s="12" t="inlineStr">
        <is>
          <t>MV</t>
        </is>
      </c>
      <c r="P24" s="12" t="n">
        <v>40</v>
      </c>
      <c r="Q24" s="19" t="inlineStr">
        <is>
          <t>Core CMCI</t>
        </is>
      </c>
      <c r="R24" s="19" t="inlineStr">
        <is>
          <t>Pivotal</t>
        </is>
      </c>
      <c r="S24" s="12" t="n">
        <v>3</v>
      </c>
      <c r="T24" s="14" t="n">
        <v>46321</v>
      </c>
      <c r="U24" s="14">
        <f>T24+7</f>
        <v/>
      </c>
      <c r="V24" s="13" t="n"/>
      <c r="JL24" s="8" t="n"/>
    </row>
    <row r="25" customFormat="1" s="2">
      <c r="A25" s="12" t="inlineStr">
        <is>
          <t>189470</t>
        </is>
      </c>
      <c r="B25" s="12" t="n">
        <v>6822</v>
      </c>
      <c r="C25" s="12" t="inlineStr">
        <is>
          <t>06822</t>
        </is>
      </c>
      <c r="D25" s="12" t="inlineStr">
        <is>
          <t>07</t>
        </is>
      </c>
      <c r="E25" s="12" t="inlineStr">
        <is>
          <t>35</t>
        </is>
      </c>
      <c r="F25" s="12" t="inlineStr">
        <is>
          <t>02</t>
        </is>
      </c>
      <c r="G25" s="12" t="n">
        <v>148</v>
      </c>
      <c r="H25" s="12" t="inlineStr">
        <is>
          <t>5256 BURNET RD STE B</t>
        </is>
      </c>
      <c r="I25" s="12" t="inlineStr">
        <is>
          <t>AUSTIN</t>
        </is>
      </c>
      <c r="J25" s="12" t="inlineStr">
        <is>
          <t>TX</t>
        </is>
      </c>
      <c r="K25" s="12" t="inlineStr">
        <is>
          <t>78756</t>
        </is>
      </c>
      <c r="L25" s="12" t="inlineStr">
        <is>
          <t>Freestanding</t>
        </is>
      </c>
      <c r="M25" s="12" t="inlineStr">
        <is>
          <t>Soto; Joseph</t>
        </is>
      </c>
      <c r="N25" s="12" t="inlineStr">
        <is>
          <t>Approved</t>
        </is>
      </c>
      <c r="O25" s="12" t="inlineStr">
        <is>
          <t>Store Labor</t>
        </is>
      </c>
      <c r="P25" s="12" t="n">
        <v>12</v>
      </c>
      <c r="Q25" s="19" t="inlineStr">
        <is>
          <t>Core CMCI</t>
        </is>
      </c>
      <c r="R25" s="12" t="inlineStr">
        <is>
          <t>N/A</t>
        </is>
      </c>
      <c r="S25" s="12" t="n">
        <v>3</v>
      </c>
      <c r="T25" s="14" t="n">
        <v>46321</v>
      </c>
      <c r="U25" s="14">
        <f>T25+7</f>
        <v/>
      </c>
      <c r="V25" s="13" t="n"/>
      <c r="JL25" s="11" t="n"/>
    </row>
    <row r="26" customFormat="1" s="2">
      <c r="A26" s="12" t="inlineStr">
        <is>
          <t>189281</t>
        </is>
      </c>
      <c r="B26" s="12" t="n">
        <v>3187</v>
      </c>
      <c r="C26" s="12" t="inlineStr">
        <is>
          <t>03187</t>
        </is>
      </c>
      <c r="D26" s="12" t="inlineStr">
        <is>
          <t>07</t>
        </is>
      </c>
      <c r="E26" s="12" t="inlineStr">
        <is>
          <t>37</t>
        </is>
      </c>
      <c r="F26" s="12" t="inlineStr">
        <is>
          <t>03</t>
        </is>
      </c>
      <c r="G26" s="12" t="n">
        <v>149</v>
      </c>
      <c r="H26" s="12" t="inlineStr">
        <is>
          <t>1000 E. SANDY LAKE RD.</t>
        </is>
      </c>
      <c r="I26" s="12" t="inlineStr">
        <is>
          <t>COPPELL</t>
        </is>
      </c>
      <c r="J26" s="12" t="inlineStr">
        <is>
          <t>TX</t>
        </is>
      </c>
      <c r="K26" s="12" t="inlineStr">
        <is>
          <t>75019</t>
        </is>
      </c>
      <c r="L26" s="12" t="inlineStr">
        <is>
          <t>Freestanding Pad</t>
        </is>
      </c>
      <c r="M26" s="12" t="inlineStr">
        <is>
          <t>Soto; Joseph</t>
        </is>
      </c>
      <c r="N26" s="12" t="inlineStr">
        <is>
          <t>Approved</t>
        </is>
      </c>
      <c r="O26" s="12" t="inlineStr">
        <is>
          <t>MV</t>
        </is>
      </c>
      <c r="P26" s="12" t="n">
        <v>46</v>
      </c>
      <c r="Q26" s="19" t="inlineStr">
        <is>
          <t>Core CMCI</t>
        </is>
      </c>
      <c r="R26" s="19" t="inlineStr">
        <is>
          <t>Channel Partners</t>
        </is>
      </c>
      <c r="S26" s="12" t="n">
        <v>3</v>
      </c>
      <c r="T26" s="14" t="n">
        <v>46321</v>
      </c>
      <c r="U26" s="14">
        <f>T26+7</f>
        <v/>
      </c>
      <c r="V26" s="13" t="n"/>
    </row>
    <row r="27" customFormat="1" s="2">
      <c r="A27" s="12" t="inlineStr">
        <is>
          <t>189528</t>
        </is>
      </c>
      <c r="B27" s="12" t="n">
        <v>7787</v>
      </c>
      <c r="C27" s="12" t="inlineStr">
        <is>
          <t>07787</t>
        </is>
      </c>
      <c r="D27" s="12" t="inlineStr">
        <is>
          <t>07</t>
        </is>
      </c>
      <c r="E27" s="12" t="inlineStr">
        <is>
          <t>37</t>
        </is>
      </c>
      <c r="F27" s="12" t="inlineStr">
        <is>
          <t>03</t>
        </is>
      </c>
      <c r="G27" s="12" t="n">
        <v>149</v>
      </c>
      <c r="H27" s="12" t="inlineStr">
        <is>
          <t>2220 CROSS TIMBERS RD</t>
        </is>
      </c>
      <c r="I27" s="12" t="inlineStr">
        <is>
          <t>FLOWER MOUND</t>
        </is>
      </c>
      <c r="J27" s="12" t="inlineStr">
        <is>
          <t>TX</t>
        </is>
      </c>
      <c r="K27" s="12" t="inlineStr">
        <is>
          <t>75028</t>
        </is>
      </c>
      <c r="L27" s="12" t="inlineStr">
        <is>
          <t>Freestanding</t>
        </is>
      </c>
      <c r="M27" s="12" t="inlineStr">
        <is>
          <t>Soto; Joseph</t>
        </is>
      </c>
      <c r="N27" s="12" t="inlineStr">
        <is>
          <t>Approved</t>
        </is>
      </c>
      <c r="O27" s="12" t="inlineStr">
        <is>
          <t>N/A</t>
        </is>
      </c>
      <c r="P27" s="12" t="n">
        <v>0</v>
      </c>
      <c r="Q27" s="19" t="inlineStr">
        <is>
          <t>Core CMCI</t>
        </is>
      </c>
      <c r="R27" s="12" t="inlineStr">
        <is>
          <t>N/A</t>
        </is>
      </c>
      <c r="S27" s="12" t="n">
        <v>3</v>
      </c>
      <c r="T27" s="14" t="n">
        <v>46321</v>
      </c>
      <c r="U27" s="14">
        <f>T27+7</f>
        <v/>
      </c>
      <c r="V27" s="13" t="n"/>
    </row>
    <row r="28" customFormat="1" s="2">
      <c r="A28" s="12" t="inlineStr">
        <is>
          <t>189516</t>
        </is>
      </c>
      <c r="B28" s="12" t="n">
        <v>7448</v>
      </c>
      <c r="C28" s="12" t="inlineStr">
        <is>
          <t>07448</t>
        </is>
      </c>
      <c r="D28" s="12" t="inlineStr">
        <is>
          <t>07</t>
        </is>
      </c>
      <c r="E28" s="12" t="inlineStr">
        <is>
          <t>33</t>
        </is>
      </c>
      <c r="F28" s="12" t="inlineStr">
        <is>
          <t>01</t>
        </is>
      </c>
      <c r="G28" s="12" t="n">
        <v>145</v>
      </c>
      <c r="H28" s="12" t="inlineStr">
        <is>
          <t>815 W. MAIN ST.</t>
        </is>
      </c>
      <c r="I28" s="12" t="inlineStr">
        <is>
          <t>TOMBALL</t>
        </is>
      </c>
      <c r="J28" s="12" t="inlineStr">
        <is>
          <t>TX</t>
        </is>
      </c>
      <c r="K28" s="12" t="inlineStr">
        <is>
          <t>77375</t>
        </is>
      </c>
      <c r="L28" s="12" t="inlineStr">
        <is>
          <t>Freestanding</t>
        </is>
      </c>
      <c r="M28" s="12" t="inlineStr">
        <is>
          <t>Cathey; Chris C.</t>
        </is>
      </c>
      <c r="N28" s="12" t="inlineStr">
        <is>
          <t>Approved</t>
        </is>
      </c>
      <c r="O28" s="12" t="inlineStr">
        <is>
          <t>MV</t>
        </is>
      </c>
      <c r="P28" s="12" t="n">
        <v>36</v>
      </c>
      <c r="Q28" s="19" t="inlineStr">
        <is>
          <t>Core CMCI</t>
        </is>
      </c>
      <c r="R28" s="19" t="inlineStr">
        <is>
          <t>Pivotal</t>
        </is>
      </c>
      <c r="S28" s="12" t="n">
        <v>3</v>
      </c>
      <c r="T28" s="14" t="n">
        <v>46328</v>
      </c>
      <c r="U28" s="14">
        <f>T28+7</f>
        <v/>
      </c>
      <c r="V28" s="13" t="n"/>
      <c r="JL28" s="6" t="n"/>
    </row>
    <row r="29" customFormat="1" s="2">
      <c r="A29" s="12" t="inlineStr">
        <is>
          <t>190021</t>
        </is>
      </c>
      <c r="B29" s="12" t="n">
        <v>10664</v>
      </c>
      <c r="C29" s="12" t="inlineStr">
        <is>
          <t>10664</t>
        </is>
      </c>
      <c r="D29" s="12" t="inlineStr">
        <is>
          <t>07</t>
        </is>
      </c>
      <c r="E29" s="12" t="inlineStr">
        <is>
          <t>33</t>
        </is>
      </c>
      <c r="F29" s="12" t="inlineStr">
        <is>
          <t>01</t>
        </is>
      </c>
      <c r="G29" s="12" t="n">
        <v>145</v>
      </c>
      <c r="H29" s="12" t="inlineStr">
        <is>
          <t>2180 WOODFOREST PARKWAY N.</t>
        </is>
      </c>
      <c r="I29" s="12" t="inlineStr">
        <is>
          <t>MONTGOMERY</t>
        </is>
      </c>
      <c r="J29" s="12" t="inlineStr">
        <is>
          <t>TX</t>
        </is>
      </c>
      <c r="K29" s="12" t="inlineStr">
        <is>
          <t>77316</t>
        </is>
      </c>
      <c r="L29" s="12" t="inlineStr">
        <is>
          <t>Freestanding Pad</t>
        </is>
      </c>
      <c r="M29" s="12" t="inlineStr">
        <is>
          <t>Cathey; Chris C.</t>
        </is>
      </c>
      <c r="N29" s="12" t="inlineStr">
        <is>
          <t>Approved</t>
        </is>
      </c>
      <c r="O29" s="12" t="inlineStr">
        <is>
          <t>Store Labor</t>
        </is>
      </c>
      <c r="P29" s="12" t="n">
        <v>34</v>
      </c>
      <c r="Q29" s="19" t="inlineStr">
        <is>
          <t>Core CMCI</t>
        </is>
      </c>
      <c r="R29" s="12" t="inlineStr">
        <is>
          <t>N/A</t>
        </is>
      </c>
      <c r="S29" s="12" t="n">
        <v>3</v>
      </c>
      <c r="T29" s="14" t="n">
        <v>46328</v>
      </c>
      <c r="U29" s="14">
        <f>T29+7</f>
        <v/>
      </c>
      <c r="V29" s="13" t="n"/>
      <c r="JL29" s="6" t="n"/>
    </row>
    <row r="30" customFormat="1" s="4">
      <c r="A30" s="12" t="inlineStr">
        <is>
          <t>189926</t>
        </is>
      </c>
      <c r="B30" s="12" t="n">
        <v>10107</v>
      </c>
      <c r="C30" s="12" t="inlineStr">
        <is>
          <t>10107</t>
        </is>
      </c>
      <c r="D30" s="12" t="inlineStr">
        <is>
          <t>07</t>
        </is>
      </c>
      <c r="E30" s="12" t="inlineStr">
        <is>
          <t>34</t>
        </is>
      </c>
      <c r="F30" s="12" t="inlineStr">
        <is>
          <t>02</t>
        </is>
      </c>
      <c r="G30" s="12" t="n">
        <v>146</v>
      </c>
      <c r="H30" s="12" t="inlineStr">
        <is>
          <t>2300 N CONWAY AVE.</t>
        </is>
      </c>
      <c r="I30" s="12" t="inlineStr">
        <is>
          <t>MISSION</t>
        </is>
      </c>
      <c r="J30" s="12" t="inlineStr">
        <is>
          <t>TX</t>
        </is>
      </c>
      <c r="K30" s="12" t="inlineStr">
        <is>
          <t>78574</t>
        </is>
      </c>
      <c r="L30" s="12" t="inlineStr">
        <is>
          <t>Freestanding</t>
        </is>
      </c>
      <c r="M30" s="12" t="inlineStr">
        <is>
          <t>Soto; Joseph</t>
        </is>
      </c>
      <c r="N30" s="12" t="inlineStr">
        <is>
          <t>Not Validated Yet</t>
        </is>
      </c>
      <c r="O30" s="12" t="n"/>
      <c r="P30" s="12" t="n"/>
      <c r="Q30" s="19" t="inlineStr">
        <is>
          <t>Core CMCI</t>
        </is>
      </c>
      <c r="R30" s="19" t="inlineStr">
        <is>
          <t>Merchco</t>
        </is>
      </c>
      <c r="S30" s="12" t="n"/>
      <c r="T30" s="14" t="n">
        <v>46328</v>
      </c>
      <c r="U30" s="14">
        <f>T30+7</f>
        <v/>
      </c>
      <c r="V30" s="13" t="n"/>
      <c r="JL30" s="1" t="n"/>
    </row>
    <row r="31" customFormat="1" s="4">
      <c r="A31" s="12" t="inlineStr">
        <is>
          <t>189978</t>
        </is>
      </c>
      <c r="B31" s="12" t="n">
        <v>10405</v>
      </c>
      <c r="C31" s="12" t="inlineStr">
        <is>
          <t>10405</t>
        </is>
      </c>
      <c r="D31" s="12" t="inlineStr">
        <is>
          <t>07</t>
        </is>
      </c>
      <c r="E31" s="12" t="inlineStr">
        <is>
          <t>34</t>
        </is>
      </c>
      <c r="F31" s="12" t="inlineStr">
        <is>
          <t>02</t>
        </is>
      </c>
      <c r="G31" s="12" t="n">
        <v>146</v>
      </c>
      <c r="H31" s="12" t="inlineStr">
        <is>
          <t>103 W. MONTE CRISTO RD.</t>
        </is>
      </c>
      <c r="I31" s="12" t="inlineStr">
        <is>
          <t>EDINBURG</t>
        </is>
      </c>
      <c r="J31" s="12" t="inlineStr">
        <is>
          <t>TX</t>
        </is>
      </c>
      <c r="K31" s="12" t="inlineStr">
        <is>
          <t>78541</t>
        </is>
      </c>
      <c r="L31" s="12" t="inlineStr">
        <is>
          <t>Freestanding</t>
        </is>
      </c>
      <c r="M31" s="12" t="inlineStr">
        <is>
          <t>Soto; Joseph</t>
        </is>
      </c>
      <c r="N31" s="12" t="inlineStr">
        <is>
          <t>Approved</t>
        </is>
      </c>
      <c r="O31" s="12" t="inlineStr">
        <is>
          <t>MV</t>
        </is>
      </c>
      <c r="P31" s="12" t="n">
        <v>62</v>
      </c>
      <c r="Q31" s="19" t="inlineStr">
        <is>
          <t>Core CMCI</t>
        </is>
      </c>
      <c r="R31" s="19" t="inlineStr">
        <is>
          <t>Merchco</t>
        </is>
      </c>
      <c r="S31" s="12" t="n">
        <v>4</v>
      </c>
      <c r="T31" s="14" t="n">
        <v>46328</v>
      </c>
      <c r="U31" s="14">
        <f>T31+7</f>
        <v/>
      </c>
      <c r="V31" s="13" t="n"/>
      <c r="JL31" s="1" t="n"/>
    </row>
    <row r="32" customFormat="1" s="4">
      <c r="A32" s="12" t="inlineStr">
        <is>
          <t>189279</t>
        </is>
      </c>
      <c r="B32" s="12" t="n">
        <v>3693</v>
      </c>
      <c r="C32" s="12" t="inlineStr">
        <is>
          <t>03693</t>
        </is>
      </c>
      <c r="D32" s="12" t="inlineStr">
        <is>
          <t>07</t>
        </is>
      </c>
      <c r="E32" s="12" t="inlineStr">
        <is>
          <t>34</t>
        </is>
      </c>
      <c r="F32" s="12" t="inlineStr">
        <is>
          <t>04</t>
        </is>
      </c>
      <c r="G32" s="12" t="n">
        <v>147</v>
      </c>
      <c r="H32" s="12" t="inlineStr">
        <is>
          <t>7950 S. GESSNER RD.</t>
        </is>
      </c>
      <c r="I32" s="12" t="inlineStr">
        <is>
          <t>HOUSTON</t>
        </is>
      </c>
      <c r="J32" s="12" t="inlineStr">
        <is>
          <t>TX</t>
        </is>
      </c>
      <c r="K32" s="12" t="inlineStr">
        <is>
          <t>77036</t>
        </is>
      </c>
      <c r="L32" s="12" t="inlineStr">
        <is>
          <t>Freestanding</t>
        </is>
      </c>
      <c r="M32" s="12" t="inlineStr">
        <is>
          <t>Soto; Joseph</t>
        </is>
      </c>
      <c r="N32" s="12" t="inlineStr">
        <is>
          <t>Approved</t>
        </is>
      </c>
      <c r="O32" s="12" t="inlineStr">
        <is>
          <t>MV</t>
        </is>
      </c>
      <c r="P32" s="12" t="n">
        <v>56</v>
      </c>
      <c r="Q32" s="19" t="inlineStr">
        <is>
          <t>Core CMCI</t>
        </is>
      </c>
      <c r="R32" s="19" t="inlineStr">
        <is>
          <t>Merchco</t>
        </is>
      </c>
      <c r="S32" s="12" t="n">
        <v>3</v>
      </c>
      <c r="T32" s="14" t="n">
        <v>46328</v>
      </c>
      <c r="U32" s="14">
        <f>T32+7</f>
        <v/>
      </c>
      <c r="V32" s="13" t="n"/>
      <c r="JL32" s="1" t="n"/>
    </row>
    <row r="33" customFormat="1" s="4">
      <c r="A33" s="12" t="inlineStr">
        <is>
          <t>189322</t>
        </is>
      </c>
      <c r="B33" s="12" t="n">
        <v>4474</v>
      </c>
      <c r="C33" s="12" t="inlineStr">
        <is>
          <t>04474</t>
        </is>
      </c>
      <c r="D33" s="12" t="inlineStr">
        <is>
          <t>07</t>
        </is>
      </c>
      <c r="E33" s="12" t="inlineStr">
        <is>
          <t>34</t>
        </is>
      </c>
      <c r="F33" s="12" t="inlineStr">
        <is>
          <t>04</t>
        </is>
      </c>
      <c r="G33" s="12" t="n">
        <v>147</v>
      </c>
      <c r="H33" s="12" t="inlineStr">
        <is>
          <t>2781 DULLES AVE.</t>
        </is>
      </c>
      <c r="I33" s="12" t="inlineStr">
        <is>
          <t>MISSOURI CITY</t>
        </is>
      </c>
      <c r="J33" s="12" t="inlineStr">
        <is>
          <t>TX</t>
        </is>
      </c>
      <c r="K33" s="12" t="inlineStr">
        <is>
          <t>77459</t>
        </is>
      </c>
      <c r="L33" s="12" t="inlineStr">
        <is>
          <t>Freestanding</t>
        </is>
      </c>
      <c r="M33" s="12" t="inlineStr">
        <is>
          <t>Soto; Joseph</t>
        </is>
      </c>
      <c r="N33" s="12" t="inlineStr">
        <is>
          <t>Approved</t>
        </is>
      </c>
      <c r="O33" s="12" t="inlineStr">
        <is>
          <t>MV</t>
        </is>
      </c>
      <c r="P33" s="12" t="n">
        <v>66</v>
      </c>
      <c r="Q33" s="19" t="inlineStr">
        <is>
          <t>Core CMCI</t>
        </is>
      </c>
      <c r="R33" s="19" t="inlineStr">
        <is>
          <t>Merchco</t>
        </is>
      </c>
      <c r="S33" s="12" t="n">
        <v>3</v>
      </c>
      <c r="T33" s="14" t="n">
        <v>46328</v>
      </c>
      <c r="U33" s="14">
        <f>T33+7</f>
        <v/>
      </c>
      <c r="V33" s="13" t="n"/>
      <c r="JL33" s="11" t="n"/>
    </row>
    <row r="34" customFormat="1" s="4">
      <c r="A34" s="12" t="inlineStr">
        <is>
          <t>189984</t>
        </is>
      </c>
      <c r="B34" s="12" t="n">
        <v>10595</v>
      </c>
      <c r="C34" s="12" t="inlineStr">
        <is>
          <t>10595</t>
        </is>
      </c>
      <c r="D34" s="12" t="inlineStr">
        <is>
          <t>07</t>
        </is>
      </c>
      <c r="E34" s="12" t="inlineStr">
        <is>
          <t>35</t>
        </is>
      </c>
      <c r="F34" s="12" t="inlineStr">
        <is>
          <t>03</t>
        </is>
      </c>
      <c r="G34" s="12" t="n">
        <v>148</v>
      </c>
      <c r="H34" s="12" t="inlineStr">
        <is>
          <t>200 CIBOLO VALLEY DR.</t>
        </is>
      </c>
      <c r="I34" s="12" t="inlineStr">
        <is>
          <t>CIBOLO</t>
        </is>
      </c>
      <c r="J34" s="12" t="inlineStr">
        <is>
          <t>TX</t>
        </is>
      </c>
      <c r="K34" s="12" t="inlineStr">
        <is>
          <t>78108</t>
        </is>
      </c>
      <c r="L34" s="12" t="inlineStr">
        <is>
          <t>Freestanding</t>
        </is>
      </c>
      <c r="M34" s="12" t="inlineStr">
        <is>
          <t>Soto; Joseph</t>
        </is>
      </c>
      <c r="N34" s="12" t="inlineStr">
        <is>
          <t>Approved</t>
        </is>
      </c>
      <c r="O34" s="12" t="inlineStr">
        <is>
          <t>Store Labor</t>
        </is>
      </c>
      <c r="P34" s="12" t="n">
        <v>36</v>
      </c>
      <c r="Q34" s="19" t="inlineStr">
        <is>
          <t>Core CMCI</t>
        </is>
      </c>
      <c r="R34" s="12" t="inlineStr">
        <is>
          <t>N/A</t>
        </is>
      </c>
      <c r="S34" s="12" t="n">
        <v>4</v>
      </c>
      <c r="T34" s="14" t="n">
        <v>46328</v>
      </c>
      <c r="U34" s="14">
        <f>T34+7</f>
        <v/>
      </c>
      <c r="V34" s="13" t="n"/>
      <c r="JL34" s="8" t="n"/>
    </row>
    <row r="35" customFormat="1" s="4">
      <c r="A35" s="12" t="inlineStr">
        <is>
          <t>189526</t>
        </is>
      </c>
      <c r="B35" s="12" t="n">
        <v>7307</v>
      </c>
      <c r="C35" s="12" t="inlineStr">
        <is>
          <t>07307</t>
        </is>
      </c>
      <c r="D35" s="12" t="inlineStr">
        <is>
          <t>07</t>
        </is>
      </c>
      <c r="E35" s="12" t="inlineStr">
        <is>
          <t>35</t>
        </is>
      </c>
      <c r="F35" s="12" t="inlineStr">
        <is>
          <t>04</t>
        </is>
      </c>
      <c r="G35" s="12" t="n">
        <v>148</v>
      </c>
      <c r="H35" s="12" t="inlineStr">
        <is>
          <t>2018 CULEBRA RD.</t>
        </is>
      </c>
      <c r="I35" s="12" t="inlineStr">
        <is>
          <t>SAN ANTONIO</t>
        </is>
      </c>
      <c r="J35" s="12" t="inlineStr">
        <is>
          <t>TX</t>
        </is>
      </c>
      <c r="K35" s="12" t="inlineStr">
        <is>
          <t>78201</t>
        </is>
      </c>
      <c r="L35" s="12" t="inlineStr">
        <is>
          <t>Freestanding</t>
        </is>
      </c>
      <c r="M35" s="12" t="inlineStr">
        <is>
          <t>Soto; Joseph</t>
        </is>
      </c>
      <c r="N35" s="12" t="inlineStr">
        <is>
          <t>Not Validated Yet</t>
        </is>
      </c>
      <c r="O35" s="12" t="n"/>
      <c r="P35" s="12" t="n"/>
      <c r="Q35" s="19" t="inlineStr">
        <is>
          <t>Core CMCI</t>
        </is>
      </c>
      <c r="R35" s="19" t="inlineStr">
        <is>
          <t>Pivotal</t>
        </is>
      </c>
      <c r="S35" s="12" t="n"/>
      <c r="T35" s="14" t="n">
        <v>46328</v>
      </c>
      <c r="U35" s="14">
        <f>T35+7</f>
        <v/>
      </c>
      <c r="V35" s="13" t="n"/>
      <c r="JL35" s="8" t="n"/>
    </row>
    <row r="36" customFormat="1" s="5">
      <c r="A36" s="12" t="inlineStr">
        <is>
          <t>189474</t>
        </is>
      </c>
      <c r="B36" s="12" t="n">
        <v>6960</v>
      </c>
      <c r="C36" s="12" t="inlineStr">
        <is>
          <t>06960</t>
        </is>
      </c>
      <c r="D36" s="12" t="inlineStr">
        <is>
          <t>07</t>
        </is>
      </c>
      <c r="E36" s="12" t="inlineStr">
        <is>
          <t>37</t>
        </is>
      </c>
      <c r="F36" s="12" t="inlineStr">
        <is>
          <t>04</t>
        </is>
      </c>
      <c r="G36" s="12" t="n">
        <v>149</v>
      </c>
      <c r="H36" s="12" t="inlineStr">
        <is>
          <t>2142 N JOSEY LN</t>
        </is>
      </c>
      <c r="I36" s="12" t="inlineStr">
        <is>
          <t>CARROLLTON</t>
        </is>
      </c>
      <c r="J36" s="12" t="inlineStr">
        <is>
          <t>TX</t>
        </is>
      </c>
      <c r="K36" s="12" t="inlineStr">
        <is>
          <t>75006</t>
        </is>
      </c>
      <c r="L36" s="12" t="inlineStr">
        <is>
          <t>Freestanding</t>
        </is>
      </c>
      <c r="M36" s="12" t="inlineStr">
        <is>
          <t>Soto; Joseph</t>
        </is>
      </c>
      <c r="N36" s="12" t="inlineStr">
        <is>
          <t>Approved</t>
        </is>
      </c>
      <c r="O36" s="12" t="inlineStr">
        <is>
          <t>N/A</t>
        </is>
      </c>
      <c r="P36" s="12" t="n">
        <v>0</v>
      </c>
      <c r="Q36" s="19" t="inlineStr">
        <is>
          <t>Core CMCI</t>
        </is>
      </c>
      <c r="R36" s="12" t="inlineStr">
        <is>
          <t>N/A</t>
        </is>
      </c>
      <c r="S36" s="12" t="n">
        <v>3</v>
      </c>
      <c r="T36" s="14" t="n">
        <v>46328</v>
      </c>
      <c r="U36" s="14">
        <f>T36+7</f>
        <v/>
      </c>
      <c r="V36" s="13" t="n"/>
      <c r="JL36" s="11" t="n"/>
    </row>
    <row r="37" customFormat="1" s="5">
      <c r="A37" s="12" t="inlineStr">
        <is>
          <t>189529</t>
        </is>
      </c>
      <c r="B37" s="12" t="n">
        <v>7804</v>
      </c>
      <c r="C37" s="12" t="inlineStr">
        <is>
          <t>07804</t>
        </is>
      </c>
      <c r="D37" s="12" t="inlineStr">
        <is>
          <t>07</t>
        </is>
      </c>
      <c r="E37" s="12" t="inlineStr">
        <is>
          <t>37</t>
        </is>
      </c>
      <c r="F37" s="12" t="inlineStr">
        <is>
          <t>04</t>
        </is>
      </c>
      <c r="G37" s="12" t="n">
        <v>149</v>
      </c>
      <c r="H37" s="12" t="inlineStr">
        <is>
          <t>6401 W PARKER RD</t>
        </is>
      </c>
      <c r="I37" s="12" t="inlineStr">
        <is>
          <t>PLANO</t>
        </is>
      </c>
      <c r="J37" s="12" t="inlineStr">
        <is>
          <t>TX</t>
        </is>
      </c>
      <c r="K37" s="12" t="inlineStr">
        <is>
          <t>75093</t>
        </is>
      </c>
      <c r="L37" s="12" t="inlineStr">
        <is>
          <t>Freestanding</t>
        </is>
      </c>
      <c r="M37" s="12" t="inlineStr">
        <is>
          <t>Soto; Joseph</t>
        </is>
      </c>
      <c r="N37" s="12" t="inlineStr">
        <is>
          <t>Approved</t>
        </is>
      </c>
      <c r="O37" s="12" t="inlineStr">
        <is>
          <t>N/A</t>
        </is>
      </c>
      <c r="P37" s="12" t="n">
        <v>0</v>
      </c>
      <c r="Q37" s="19" t="inlineStr">
        <is>
          <t>Core CMCI</t>
        </is>
      </c>
      <c r="R37" s="12" t="inlineStr">
        <is>
          <t>N/A</t>
        </is>
      </c>
      <c r="S37" s="12" t="n">
        <v>3</v>
      </c>
      <c r="T37" s="14" t="n">
        <v>46328</v>
      </c>
      <c r="U37" s="14">
        <f>T37+7</f>
        <v/>
      </c>
      <c r="V37" s="13" t="n"/>
      <c r="JL37" s="2" t="n"/>
    </row>
    <row r="38" customFormat="1" s="5">
      <c r="A38" s="12" t="inlineStr">
        <is>
          <t>189519</t>
        </is>
      </c>
      <c r="B38" s="12" t="n">
        <v>7476</v>
      </c>
      <c r="C38" s="12" t="inlineStr">
        <is>
          <t>07476</t>
        </is>
      </c>
      <c r="D38" s="12" t="inlineStr">
        <is>
          <t>07</t>
        </is>
      </c>
      <c r="E38" s="12" t="inlineStr">
        <is>
          <t>33</t>
        </is>
      </c>
      <c r="F38" s="12" t="inlineStr">
        <is>
          <t>02</t>
        </is>
      </c>
      <c r="G38" s="12" t="n">
        <v>145</v>
      </c>
      <c r="H38" s="12" t="inlineStr">
        <is>
          <t>5401 WASHINGTON AVE</t>
        </is>
      </c>
      <c r="I38" s="12" t="inlineStr">
        <is>
          <t>HOUSTON</t>
        </is>
      </c>
      <c r="J38" s="12" t="inlineStr">
        <is>
          <t>TX</t>
        </is>
      </c>
      <c r="K38" s="12" t="inlineStr">
        <is>
          <t>77007</t>
        </is>
      </c>
      <c r="L38" s="12" t="inlineStr">
        <is>
          <t>Freestanding</t>
        </is>
      </c>
      <c r="M38" s="12" t="inlineStr">
        <is>
          <t>Cathey; Chris C.</t>
        </is>
      </c>
      <c r="N38" s="12" t="inlineStr">
        <is>
          <t>Not Validated Yet</t>
        </is>
      </c>
      <c r="O38" s="12" t="n"/>
      <c r="P38" s="12" t="n"/>
      <c r="Q38" s="19" t="inlineStr">
        <is>
          <t>Core CMCI</t>
        </is>
      </c>
      <c r="R38" s="19" t="inlineStr">
        <is>
          <t>Pivotal</t>
        </is>
      </c>
      <c r="S38" s="12" t="n"/>
      <c r="T38" s="14" t="n">
        <v>46335</v>
      </c>
      <c r="U38" s="14">
        <f>T38+7</f>
        <v/>
      </c>
      <c r="V38" s="13" t="n"/>
      <c r="JL38" s="6" t="n"/>
    </row>
    <row r="39" customFormat="1" s="5">
      <c r="A39" s="12" t="inlineStr">
        <is>
          <t>188919</t>
        </is>
      </c>
      <c r="B39" s="12" t="n">
        <v>248</v>
      </c>
      <c r="C39" s="12" t="inlineStr">
        <is>
          <t>00248</t>
        </is>
      </c>
      <c r="D39" s="12" t="inlineStr">
        <is>
          <t>07</t>
        </is>
      </c>
      <c r="E39" s="12" t="inlineStr">
        <is>
          <t>34</t>
        </is>
      </c>
      <c r="F39" s="12" t="inlineStr">
        <is>
          <t>02</t>
        </is>
      </c>
      <c r="G39" s="12" t="n">
        <v>146</v>
      </c>
      <c r="H39" s="12" t="inlineStr">
        <is>
          <t>2121 W. TRENTON RD.</t>
        </is>
      </c>
      <c r="I39" s="12" t="inlineStr">
        <is>
          <t>EDINBURG</t>
        </is>
      </c>
      <c r="J39" s="12" t="inlineStr">
        <is>
          <t>TX</t>
        </is>
      </c>
      <c r="K39" s="12" t="inlineStr">
        <is>
          <t>78539</t>
        </is>
      </c>
      <c r="L39" s="12" t="inlineStr">
        <is>
          <t>Freestanding</t>
        </is>
      </c>
      <c r="M39" s="12" t="inlineStr">
        <is>
          <t>Soto; Joseph</t>
        </is>
      </c>
      <c r="N39" s="12" t="inlineStr">
        <is>
          <t>Not Validated Yet</t>
        </is>
      </c>
      <c r="O39" s="12" t="n"/>
      <c r="P39" s="12" t="n"/>
      <c r="Q39" s="19" t="inlineStr">
        <is>
          <t>Core CMCI</t>
        </is>
      </c>
      <c r="R39" s="19" t="inlineStr">
        <is>
          <t>Merchco</t>
        </is>
      </c>
      <c r="S39" s="12" t="n"/>
      <c r="T39" s="14" t="n">
        <v>46335</v>
      </c>
      <c r="U39" s="14">
        <f>T39+7</f>
        <v/>
      </c>
      <c r="V39" s="13" t="n"/>
      <c r="JL39" s="1" t="n"/>
    </row>
    <row r="40" customFormat="1" s="5">
      <c r="A40" s="12" t="inlineStr">
        <is>
          <t>189979</t>
        </is>
      </c>
      <c r="B40" s="12" t="n">
        <v>10350</v>
      </c>
      <c r="C40" s="12" t="inlineStr">
        <is>
          <t>10350</t>
        </is>
      </c>
      <c r="D40" s="12" t="inlineStr">
        <is>
          <t>07</t>
        </is>
      </c>
      <c r="E40" s="12" t="inlineStr">
        <is>
          <t>34</t>
        </is>
      </c>
      <c r="F40" s="12" t="inlineStr">
        <is>
          <t>03</t>
        </is>
      </c>
      <c r="G40" s="12" t="n">
        <v>146</v>
      </c>
      <c r="H40" s="12" t="inlineStr">
        <is>
          <t>4523 L J PARKWAY</t>
        </is>
      </c>
      <c r="I40" s="12" t="inlineStr">
        <is>
          <t>SUGAR LAND</t>
        </is>
      </c>
      <c r="J40" s="12" t="inlineStr">
        <is>
          <t>TX</t>
        </is>
      </c>
      <c r="K40" s="12" t="inlineStr">
        <is>
          <t>77479</t>
        </is>
      </c>
      <c r="L40" s="12" t="inlineStr">
        <is>
          <t>Freestanding</t>
        </is>
      </c>
      <c r="M40" s="12" t="inlineStr">
        <is>
          <t>Soto; Joseph</t>
        </is>
      </c>
      <c r="N40" s="12" t="inlineStr">
        <is>
          <t>Not Validated Yet</t>
        </is>
      </c>
      <c r="O40" s="12" t="n"/>
      <c r="P40" s="12" t="n"/>
      <c r="Q40" s="19" t="inlineStr">
        <is>
          <t>Core CMCI</t>
        </is>
      </c>
      <c r="R40" s="19" t="inlineStr">
        <is>
          <t>Merchco</t>
        </is>
      </c>
      <c r="S40" s="12" t="n"/>
      <c r="T40" s="14" t="n">
        <v>46335</v>
      </c>
      <c r="U40" s="14">
        <f>T40+7</f>
        <v/>
      </c>
      <c r="V40" s="13" t="n"/>
      <c r="JL40" s="1" t="n"/>
    </row>
    <row r="41" customFormat="1" s="5">
      <c r="A41" s="12" t="inlineStr">
        <is>
          <t>189927</t>
        </is>
      </c>
      <c r="B41" s="12" t="n">
        <v>10177</v>
      </c>
      <c r="C41" s="12" t="inlineStr">
        <is>
          <t>10177</t>
        </is>
      </c>
      <c r="D41" s="12" t="inlineStr">
        <is>
          <t>07</t>
        </is>
      </c>
      <c r="E41" s="12" t="inlineStr">
        <is>
          <t>34</t>
        </is>
      </c>
      <c r="F41" s="12" t="inlineStr">
        <is>
          <t>04</t>
        </is>
      </c>
      <c r="G41" s="12" t="n">
        <v>147</v>
      </c>
      <c r="H41" s="12" t="inlineStr">
        <is>
          <t>2720 FM 1463</t>
        </is>
      </c>
      <c r="I41" s="12" t="inlineStr">
        <is>
          <t>KATY</t>
        </is>
      </c>
      <c r="J41" s="12" t="inlineStr">
        <is>
          <t>TX</t>
        </is>
      </c>
      <c r="K41" s="12" t="inlineStr">
        <is>
          <t>77494</t>
        </is>
      </c>
      <c r="L41" s="12" t="inlineStr">
        <is>
          <t>Freestanding</t>
        </is>
      </c>
      <c r="M41" s="12" t="inlineStr">
        <is>
          <t>Soto; Joseph</t>
        </is>
      </c>
      <c r="N41" s="12" t="inlineStr">
        <is>
          <t>Not Validated Yet</t>
        </is>
      </c>
      <c r="O41" s="12" t="n"/>
      <c r="P41" s="12" t="n"/>
      <c r="Q41" s="19" t="inlineStr">
        <is>
          <t>Core CMCI</t>
        </is>
      </c>
      <c r="R41" s="19" t="inlineStr">
        <is>
          <t>Merchco</t>
        </is>
      </c>
      <c r="S41" s="12" t="n"/>
      <c r="T41" s="14" t="n">
        <v>46335</v>
      </c>
      <c r="U41" s="14">
        <f>T41+7</f>
        <v/>
      </c>
      <c r="V41" s="13" t="n"/>
      <c r="JL41" s="8" t="n"/>
    </row>
    <row r="42" customFormat="1" s="5">
      <c r="A42" s="12" t="inlineStr">
        <is>
          <t>189424</t>
        </is>
      </c>
      <c r="B42" s="12" t="n">
        <v>5972</v>
      </c>
      <c r="C42" s="12" t="inlineStr">
        <is>
          <t>05972</t>
        </is>
      </c>
      <c r="D42" s="12" t="inlineStr">
        <is>
          <t>07</t>
        </is>
      </c>
      <c r="E42" s="12" t="inlineStr">
        <is>
          <t>34</t>
        </is>
      </c>
      <c r="F42" s="12" t="inlineStr">
        <is>
          <t>04</t>
        </is>
      </c>
      <c r="G42" s="12" t="n">
        <v>147</v>
      </c>
      <c r="H42" s="12" t="inlineStr">
        <is>
          <t>5305 AVENUE I</t>
        </is>
      </c>
      <c r="I42" s="12" t="inlineStr">
        <is>
          <t>ROSENBERG</t>
        </is>
      </c>
      <c r="J42" s="12" t="inlineStr">
        <is>
          <t>TX</t>
        </is>
      </c>
      <c r="K42" s="12" t="inlineStr">
        <is>
          <t>77471</t>
        </is>
      </c>
      <c r="L42" s="12" t="inlineStr">
        <is>
          <t>Freestanding</t>
        </is>
      </c>
      <c r="M42" s="12" t="inlineStr">
        <is>
          <t>Soto; Joseph</t>
        </is>
      </c>
      <c r="N42" s="12" t="inlineStr">
        <is>
          <t>Not Validated Yet</t>
        </is>
      </c>
      <c r="O42" s="12" t="n"/>
      <c r="P42" s="12" t="n"/>
      <c r="Q42" s="19" t="inlineStr">
        <is>
          <t>Core CMCI</t>
        </is>
      </c>
      <c r="R42" s="19" t="inlineStr">
        <is>
          <t>Merchco</t>
        </is>
      </c>
      <c r="S42" s="12" t="n"/>
      <c r="T42" s="14" t="n">
        <v>46335</v>
      </c>
      <c r="U42" s="14">
        <f>T42+7</f>
        <v/>
      </c>
      <c r="V42" s="13" t="n"/>
      <c r="JL42" s="8" t="n"/>
    </row>
    <row r="43" customFormat="1" s="5">
      <c r="A43" s="12" t="inlineStr">
        <is>
          <t>190031</t>
        </is>
      </c>
      <c r="B43" s="12" t="n">
        <v>10635</v>
      </c>
      <c r="C43" s="12" t="inlineStr">
        <is>
          <t>10635</t>
        </is>
      </c>
      <c r="D43" s="12" t="inlineStr">
        <is>
          <t>07</t>
        </is>
      </c>
      <c r="E43" s="12" t="inlineStr">
        <is>
          <t>36</t>
        </is>
      </c>
      <c r="F43" s="12" t="inlineStr">
        <is>
          <t>01</t>
        </is>
      </c>
      <c r="G43" s="12" t="n">
        <v>148</v>
      </c>
      <c r="H43" s="12" t="inlineStr">
        <is>
          <t>476 W. 1-30</t>
        </is>
      </c>
      <c r="I43" s="12" t="inlineStr">
        <is>
          <t>ROYSE CITY</t>
        </is>
      </c>
      <c r="J43" s="12" t="inlineStr">
        <is>
          <t>TX</t>
        </is>
      </c>
      <c r="K43" s="12" t="inlineStr">
        <is>
          <t>75189</t>
        </is>
      </c>
      <c r="L43" s="12" t="inlineStr">
        <is>
          <t>Freestanding</t>
        </is>
      </c>
      <c r="M43" s="12" t="inlineStr">
        <is>
          <t>Soto; Joseph</t>
        </is>
      </c>
      <c r="N43" s="12" t="inlineStr">
        <is>
          <t>Not Validated Yet</t>
        </is>
      </c>
      <c r="O43" s="12" t="n"/>
      <c r="P43" s="12" t="n"/>
      <c r="Q43" s="19" t="inlineStr">
        <is>
          <t>Core CMCI</t>
        </is>
      </c>
      <c r="R43" s="19" t="inlineStr">
        <is>
          <t>Pivotal</t>
        </is>
      </c>
      <c r="S43" s="12" t="n"/>
      <c r="T43" s="14" t="n">
        <v>46335</v>
      </c>
      <c r="U43" s="14">
        <f>T43+7</f>
        <v/>
      </c>
      <c r="V43" s="13" t="n"/>
      <c r="JL43" s="10" t="n"/>
    </row>
    <row r="44" customFormat="1" s="5">
      <c r="A44" s="12" t="inlineStr">
        <is>
          <t>189471</t>
        </is>
      </c>
      <c r="B44" s="12" t="n">
        <v>6655</v>
      </c>
      <c r="C44" s="12" t="inlineStr">
        <is>
          <t>06655</t>
        </is>
      </c>
      <c r="D44" s="12" t="inlineStr">
        <is>
          <t>07</t>
        </is>
      </c>
      <c r="E44" s="12" t="inlineStr">
        <is>
          <t>36</t>
        </is>
      </c>
      <c r="F44" s="12" t="inlineStr">
        <is>
          <t>03</t>
        </is>
      </c>
      <c r="G44" s="12" t="n">
        <v>148</v>
      </c>
      <c r="H44" s="12" t="inlineStr">
        <is>
          <t>1569 11TH ST</t>
        </is>
      </c>
      <c r="I44" s="12" t="inlineStr">
        <is>
          <t>HUNTSVILLE</t>
        </is>
      </c>
      <c r="J44" s="12" t="inlineStr">
        <is>
          <t>TX</t>
        </is>
      </c>
      <c r="K44" s="12" t="inlineStr">
        <is>
          <t>77340</t>
        </is>
      </c>
      <c r="L44" s="12" t="inlineStr">
        <is>
          <t>Freestanding</t>
        </is>
      </c>
      <c r="M44" s="12" t="inlineStr">
        <is>
          <t>Soto; Joseph</t>
        </is>
      </c>
      <c r="N44" s="12" t="inlineStr">
        <is>
          <t>Approved</t>
        </is>
      </c>
      <c r="O44" s="12" t="inlineStr">
        <is>
          <t>MV</t>
        </is>
      </c>
      <c r="P44" s="12" t="n">
        <v>56</v>
      </c>
      <c r="Q44" s="19" t="inlineStr">
        <is>
          <t>Core CMCI</t>
        </is>
      </c>
      <c r="R44" s="19" t="inlineStr">
        <is>
          <t>Pivotal</t>
        </is>
      </c>
      <c r="S44" s="12" t="n">
        <v>3</v>
      </c>
      <c r="T44" s="14" t="n">
        <v>46335</v>
      </c>
      <c r="U44" s="14">
        <f>T44+7</f>
        <v/>
      </c>
      <c r="V44" s="13" t="n"/>
      <c r="JL44" s="11" t="n"/>
    </row>
    <row r="45" customFormat="1" s="5">
      <c r="A45" s="12" t="inlineStr">
        <is>
          <t>189426</t>
        </is>
      </c>
      <c r="B45" s="12" t="n">
        <v>5799</v>
      </c>
      <c r="C45" s="12" t="inlineStr">
        <is>
          <t>05799</t>
        </is>
      </c>
      <c r="D45" s="12" t="inlineStr">
        <is>
          <t>07</t>
        </is>
      </c>
      <c r="E45" s="12" t="inlineStr">
        <is>
          <t>37</t>
        </is>
      </c>
      <c r="F45" s="12" t="inlineStr">
        <is>
          <t>05</t>
        </is>
      </c>
      <c r="G45" s="12" t="n">
        <v>149</v>
      </c>
      <c r="H45" s="12" t="inlineStr">
        <is>
          <t>6301 EL DORADO PKWY.</t>
        </is>
      </c>
      <c r="I45" s="12" t="inlineStr">
        <is>
          <t>MCKINNEY</t>
        </is>
      </c>
      <c r="J45" s="12" t="inlineStr">
        <is>
          <t>TX</t>
        </is>
      </c>
      <c r="K45" s="12" t="inlineStr">
        <is>
          <t>75070</t>
        </is>
      </c>
      <c r="L45" s="12" t="inlineStr">
        <is>
          <t>Freestanding</t>
        </is>
      </c>
      <c r="M45" s="12" t="inlineStr">
        <is>
          <t>Soto; Joseph</t>
        </is>
      </c>
      <c r="N45" s="12" t="inlineStr">
        <is>
          <t>Not Validated Yet</t>
        </is>
      </c>
      <c r="O45" s="12" t="n"/>
      <c r="P45" s="12" t="n"/>
      <c r="Q45" s="19" t="inlineStr">
        <is>
          <t>Core CMCI</t>
        </is>
      </c>
      <c r="R45" s="19" t="inlineStr">
        <is>
          <t>Channel Partners</t>
        </is>
      </c>
      <c r="S45" s="12" t="n"/>
      <c r="T45" s="14" t="n">
        <v>46335</v>
      </c>
      <c r="U45" s="14">
        <f>T45+7</f>
        <v/>
      </c>
      <c r="V45" s="13" t="n"/>
    </row>
    <row r="46" customFormat="1" s="5">
      <c r="A46" s="12" t="inlineStr">
        <is>
          <t>189986</t>
        </is>
      </c>
      <c r="B46" s="12" t="n">
        <v>10271</v>
      </c>
      <c r="C46" s="12" t="inlineStr">
        <is>
          <t>10271</t>
        </is>
      </c>
      <c r="D46" s="12" t="inlineStr">
        <is>
          <t>07</t>
        </is>
      </c>
      <c r="E46" s="12" t="inlineStr">
        <is>
          <t>37</t>
        </is>
      </c>
      <c r="F46" s="12" t="inlineStr">
        <is>
          <t>05</t>
        </is>
      </c>
      <c r="G46" s="12" t="n">
        <v>149</v>
      </c>
      <c r="H46" s="12" t="inlineStr">
        <is>
          <t>1510 W. HICKORY ST.</t>
        </is>
      </c>
      <c r="I46" s="12" t="inlineStr">
        <is>
          <t>DENTON</t>
        </is>
      </c>
      <c r="J46" s="12" t="inlineStr">
        <is>
          <t>TX</t>
        </is>
      </c>
      <c r="K46" s="12" t="inlineStr">
        <is>
          <t>76201</t>
        </is>
      </c>
      <c r="L46" s="12" t="inlineStr">
        <is>
          <t>Freestanding</t>
        </is>
      </c>
      <c r="M46" s="12" t="inlineStr">
        <is>
          <t>Soto; Joseph</t>
        </is>
      </c>
      <c r="N46" s="12" t="inlineStr">
        <is>
          <t>Not Validated Yet</t>
        </is>
      </c>
      <c r="O46" s="12" t="n"/>
      <c r="P46" s="12" t="n"/>
      <c r="Q46" s="19" t="inlineStr">
        <is>
          <t>Core CMCI</t>
        </is>
      </c>
      <c r="R46" s="19" t="inlineStr">
        <is>
          <t>Channel Partners</t>
        </is>
      </c>
      <c r="S46" s="12" t="n"/>
      <c r="T46" s="14" t="n">
        <v>46335</v>
      </c>
      <c r="U46" s="14">
        <f>T46+7</f>
        <v/>
      </c>
      <c r="V46" s="13" t="n"/>
      <c r="JL46" s="11" t="n"/>
    </row>
    <row r="47" customFormat="1" s="5">
      <c r="A47" s="12" t="inlineStr">
        <is>
          <t>189521</t>
        </is>
      </c>
      <c r="B47" s="12" t="n">
        <v>7475</v>
      </c>
      <c r="C47" s="12" t="inlineStr">
        <is>
          <t>07475</t>
        </is>
      </c>
      <c r="D47" s="12" t="inlineStr">
        <is>
          <t>07</t>
        </is>
      </c>
      <c r="E47" s="12" t="inlineStr">
        <is>
          <t>33</t>
        </is>
      </c>
      <c r="F47" s="12" t="inlineStr">
        <is>
          <t>03</t>
        </is>
      </c>
      <c r="G47" s="12" t="n">
        <v>145</v>
      </c>
      <c r="H47" s="12" t="inlineStr">
        <is>
          <t>1350 KINGWOOD DR</t>
        </is>
      </c>
      <c r="I47" s="12" t="inlineStr">
        <is>
          <t>KINGWOOD</t>
        </is>
      </c>
      <c r="J47" s="12" t="inlineStr">
        <is>
          <t>TX</t>
        </is>
      </c>
      <c r="K47" s="12" t="inlineStr">
        <is>
          <t>77339</t>
        </is>
      </c>
      <c r="L47" s="12" t="inlineStr">
        <is>
          <t>Freestanding</t>
        </is>
      </c>
      <c r="M47" s="12" t="inlineStr">
        <is>
          <t>Cathey; Chris C.</t>
        </is>
      </c>
      <c r="N47" s="12" t="inlineStr">
        <is>
          <t>Not Validated Yet</t>
        </is>
      </c>
      <c r="O47" s="12" t="n"/>
      <c r="P47" s="12" t="n"/>
      <c r="Q47" s="19" t="inlineStr">
        <is>
          <t>Core CMCI</t>
        </is>
      </c>
      <c r="R47" s="19" t="inlineStr">
        <is>
          <t>Pivotal</t>
        </is>
      </c>
      <c r="S47" s="12" t="n"/>
      <c r="T47" s="14" t="n">
        <v>46342</v>
      </c>
      <c r="U47" s="14">
        <f>T47+7</f>
        <v/>
      </c>
      <c r="V47" s="13" t="n"/>
      <c r="JL47" s="6" t="n"/>
    </row>
    <row r="48" customFormat="1" s="5">
      <c r="A48" s="12" t="inlineStr">
        <is>
          <t>190022</t>
        </is>
      </c>
      <c r="B48" s="12" t="n">
        <v>11067</v>
      </c>
      <c r="C48" s="12" t="inlineStr">
        <is>
          <t>11067</t>
        </is>
      </c>
      <c r="D48" s="12" t="inlineStr">
        <is>
          <t>07</t>
        </is>
      </c>
      <c r="E48" s="12" t="inlineStr">
        <is>
          <t>33</t>
        </is>
      </c>
      <c r="F48" s="12" t="inlineStr">
        <is>
          <t>04</t>
        </is>
      </c>
      <c r="G48" s="12" t="n">
        <v>145</v>
      </c>
      <c r="H48" s="12" t="inlineStr">
        <is>
          <t>2735 SIENNA PARKWAY</t>
        </is>
      </c>
      <c r="I48" s="12" t="inlineStr">
        <is>
          <t>MISSOURI CITY</t>
        </is>
      </c>
      <c r="J48" s="12" t="inlineStr">
        <is>
          <t>TX</t>
        </is>
      </c>
      <c r="K48" s="12" t="inlineStr">
        <is>
          <t>77459</t>
        </is>
      </c>
      <c r="L48" s="12" t="inlineStr">
        <is>
          <t>Freestanding</t>
        </is>
      </c>
      <c r="M48" s="12" t="inlineStr">
        <is>
          <t>Cathey; Chris C.</t>
        </is>
      </c>
      <c r="N48" s="12" t="inlineStr">
        <is>
          <t>Not Validated Yet</t>
        </is>
      </c>
      <c r="O48" s="12" t="n"/>
      <c r="P48" s="12" t="n"/>
      <c r="Q48" s="19" t="inlineStr">
        <is>
          <t>Core CMCI</t>
        </is>
      </c>
      <c r="R48" s="19" t="inlineStr">
        <is>
          <t>Pivotal</t>
        </is>
      </c>
      <c r="S48" s="12" t="n"/>
      <c r="T48" s="14" t="n">
        <v>46342</v>
      </c>
      <c r="U48" s="14">
        <f>T48+7</f>
        <v/>
      </c>
      <c r="V48" s="13" t="n"/>
      <c r="JL48" s="6" t="n"/>
    </row>
    <row r="49" customFormat="1" s="5">
      <c r="A49" s="12" t="inlineStr">
        <is>
          <t>189190</t>
        </is>
      </c>
      <c r="B49" s="12" t="n">
        <v>2328</v>
      </c>
      <c r="C49" s="12" t="inlineStr">
        <is>
          <t>02328</t>
        </is>
      </c>
      <c r="D49" s="12" t="inlineStr">
        <is>
          <t>07</t>
        </is>
      </c>
      <c r="E49" s="12" t="inlineStr">
        <is>
          <t>34</t>
        </is>
      </c>
      <c r="F49" s="12" t="inlineStr">
        <is>
          <t>03</t>
        </is>
      </c>
      <c r="G49" s="12" t="n">
        <v>146</v>
      </c>
      <c r="H49" s="12" t="inlineStr">
        <is>
          <t>3205 S. ALAMEDA ST.</t>
        </is>
      </c>
      <c r="I49" s="12" t="inlineStr">
        <is>
          <t>CORPUS CHRISTI</t>
        </is>
      </c>
      <c r="J49" s="12" t="inlineStr">
        <is>
          <t>TX</t>
        </is>
      </c>
      <c r="K49" s="12" t="inlineStr">
        <is>
          <t>78404</t>
        </is>
      </c>
      <c r="L49" s="12" t="inlineStr">
        <is>
          <t>Freestanding Pad</t>
        </is>
      </c>
      <c r="M49" s="12" t="inlineStr">
        <is>
          <t>Soto; Joseph</t>
        </is>
      </c>
      <c r="N49" s="12" t="inlineStr">
        <is>
          <t>Not Validated Yet</t>
        </is>
      </c>
      <c r="O49" s="12" t="n"/>
      <c r="P49" s="12" t="n"/>
      <c r="Q49" s="19" t="inlineStr">
        <is>
          <t>Core CMCI</t>
        </is>
      </c>
      <c r="R49" s="19" t="inlineStr">
        <is>
          <t>Merchco</t>
        </is>
      </c>
      <c r="S49" s="12" t="n"/>
      <c r="T49" s="14" t="n">
        <v>46342</v>
      </c>
      <c r="U49" s="14">
        <f>T49+7</f>
        <v/>
      </c>
      <c r="V49" s="13" t="n"/>
      <c r="JL49" s="1" t="n"/>
    </row>
    <row r="50">
      <c r="A50" s="12" t="inlineStr">
        <is>
          <t>189423</t>
        </is>
      </c>
      <c r="B50" s="12" t="n">
        <v>5519</v>
      </c>
      <c r="C50" s="12" t="inlineStr">
        <is>
          <t>05519</t>
        </is>
      </c>
      <c r="D50" s="12" t="inlineStr">
        <is>
          <t>07</t>
        </is>
      </c>
      <c r="E50" s="12" t="inlineStr">
        <is>
          <t>34</t>
        </is>
      </c>
      <c r="F50" s="12" t="inlineStr">
        <is>
          <t>03</t>
        </is>
      </c>
      <c r="G50" s="12" t="n">
        <v>146</v>
      </c>
      <c r="H50" s="12" t="inlineStr">
        <is>
          <t>1295 EAST LEAGUE CITY PKWY.</t>
        </is>
      </c>
      <c r="I50" s="12" t="inlineStr">
        <is>
          <t>LEAGUE CITY</t>
        </is>
      </c>
      <c r="J50" s="12" t="inlineStr">
        <is>
          <t>TX</t>
        </is>
      </c>
      <c r="K50" s="12" t="inlineStr">
        <is>
          <t>77573</t>
        </is>
      </c>
      <c r="L50" s="12" t="inlineStr">
        <is>
          <t>Freestanding</t>
        </is>
      </c>
      <c r="M50" s="12" t="inlineStr">
        <is>
          <t>Soto; Joseph</t>
        </is>
      </c>
      <c r="N50" s="12" t="inlineStr">
        <is>
          <t>Not Validated Yet</t>
        </is>
      </c>
      <c r="O50" s="12" t="n"/>
      <c r="P50" s="12" t="n"/>
      <c r="Q50" s="19" t="inlineStr">
        <is>
          <t>Core CMCI</t>
        </is>
      </c>
      <c r="R50" s="19" t="inlineStr">
        <is>
          <t>Merchco</t>
        </is>
      </c>
      <c r="S50" s="12" t="n"/>
      <c r="T50" s="14" t="n">
        <v>46342</v>
      </c>
      <c r="U50" s="14">
        <f>T50+7</f>
        <v/>
      </c>
      <c r="V50" s="13" t="n"/>
      <c r="JL50" s="1" t="n"/>
    </row>
    <row r="51">
      <c r="A51" s="12" t="inlineStr">
        <is>
          <t>189982</t>
        </is>
      </c>
      <c r="B51" s="12" t="n">
        <v>10585</v>
      </c>
      <c r="C51" s="12" t="inlineStr">
        <is>
          <t>10585</t>
        </is>
      </c>
      <c r="D51" s="12" t="inlineStr">
        <is>
          <t>07</t>
        </is>
      </c>
      <c r="E51" s="12" t="inlineStr">
        <is>
          <t>35</t>
        </is>
      </c>
      <c r="F51" s="12" t="inlineStr">
        <is>
          <t>01</t>
        </is>
      </c>
      <c r="G51" s="12" t="n">
        <v>147</v>
      </c>
      <c r="H51" s="12" t="inlineStr">
        <is>
          <t>3300 W. STAN SCHLUETER LOOP</t>
        </is>
      </c>
      <c r="I51" s="12" t="inlineStr">
        <is>
          <t>KILLEEN</t>
        </is>
      </c>
      <c r="J51" s="12" t="inlineStr">
        <is>
          <t>TX</t>
        </is>
      </c>
      <c r="K51" s="12" t="inlineStr">
        <is>
          <t>76549</t>
        </is>
      </c>
      <c r="L51" s="12" t="inlineStr">
        <is>
          <t>Freestanding</t>
        </is>
      </c>
      <c r="M51" s="12" t="inlineStr">
        <is>
          <t>Soto; Joseph</t>
        </is>
      </c>
      <c r="N51" s="12" t="inlineStr">
        <is>
          <t>Not Validated Yet</t>
        </is>
      </c>
      <c r="O51" s="12" t="n"/>
      <c r="P51" s="12" t="n"/>
      <c r="Q51" s="19" t="inlineStr">
        <is>
          <t>Core CMCI</t>
        </is>
      </c>
      <c r="R51" s="19" t="inlineStr">
        <is>
          <t>Merchco</t>
        </is>
      </c>
      <c r="S51" s="12" t="n"/>
      <c r="T51" s="14" t="n">
        <v>46342</v>
      </c>
      <c r="U51" s="14">
        <f>T51+7</f>
        <v/>
      </c>
      <c r="V51" s="13" t="n"/>
      <c r="JL51" s="8" t="n"/>
    </row>
    <row r="52" customFormat="1" s="1">
      <c r="A52" s="12" t="inlineStr">
        <is>
          <t>189928</t>
        </is>
      </c>
      <c r="B52" s="12" t="n">
        <v>10221</v>
      </c>
      <c r="C52" s="12" t="inlineStr">
        <is>
          <t>10221</t>
        </is>
      </c>
      <c r="D52" s="12" t="inlineStr">
        <is>
          <t>07</t>
        </is>
      </c>
      <c r="E52" s="12" t="inlineStr">
        <is>
          <t>35</t>
        </is>
      </c>
      <c r="F52" s="12" t="inlineStr">
        <is>
          <t>01</t>
        </is>
      </c>
      <c r="G52" s="12" t="n">
        <v>147</v>
      </c>
      <c r="H52" s="12" t="inlineStr">
        <is>
          <t>2502 TRIMMIER RD.</t>
        </is>
      </c>
      <c r="I52" s="12" t="inlineStr">
        <is>
          <t>KILLEEN</t>
        </is>
      </c>
      <c r="J52" s="12" t="inlineStr">
        <is>
          <t>TX</t>
        </is>
      </c>
      <c r="K52" s="12" t="inlineStr">
        <is>
          <t>76542</t>
        </is>
      </c>
      <c r="L52" s="12" t="inlineStr">
        <is>
          <t>Freestanding</t>
        </is>
      </c>
      <c r="M52" s="12" t="inlineStr">
        <is>
          <t>Soto; Joseph</t>
        </is>
      </c>
      <c r="N52" s="12" t="inlineStr">
        <is>
          <t>Not Validated Yet</t>
        </is>
      </c>
      <c r="O52" s="12" t="n"/>
      <c r="P52" s="12" t="n"/>
      <c r="Q52" s="19" t="inlineStr">
        <is>
          <t>Core CMCI</t>
        </is>
      </c>
      <c r="R52" s="19" t="inlineStr">
        <is>
          <t>Merchco</t>
        </is>
      </c>
      <c r="S52" s="12" t="n"/>
      <c r="T52" s="14" t="n">
        <v>46342</v>
      </c>
      <c r="U52" s="14">
        <f>T52+7</f>
        <v/>
      </c>
      <c r="V52" s="13" t="n"/>
      <c r="JL52" s="11" t="n"/>
    </row>
    <row r="53" customFormat="1" s="1">
      <c r="A53" s="12" t="inlineStr">
        <is>
          <t>189983</t>
        </is>
      </c>
      <c r="B53" s="12" t="n">
        <v>10579</v>
      </c>
      <c r="C53" s="12" t="inlineStr">
        <is>
          <t>10579</t>
        </is>
      </c>
      <c r="D53" s="12" t="inlineStr">
        <is>
          <t>07</t>
        </is>
      </c>
      <c r="E53" s="12" t="inlineStr">
        <is>
          <t>35</t>
        </is>
      </c>
      <c r="F53" s="12" t="inlineStr">
        <is>
          <t>03</t>
        </is>
      </c>
      <c r="G53" s="12" t="n">
        <v>148</v>
      </c>
      <c r="H53" s="12" t="inlineStr">
        <is>
          <t>4600 BROADWAY ST.</t>
        </is>
      </c>
      <c r="I53" s="12" t="inlineStr">
        <is>
          <t>ALAMO HEIGHTS</t>
        </is>
      </c>
      <c r="J53" s="12" t="inlineStr">
        <is>
          <t>TX</t>
        </is>
      </c>
      <c r="K53" s="12" t="inlineStr">
        <is>
          <t>78209</t>
        </is>
      </c>
      <c r="L53" s="12" t="inlineStr">
        <is>
          <t>Freestanding</t>
        </is>
      </c>
      <c r="M53" s="12" t="inlineStr">
        <is>
          <t>Soto; Joseph</t>
        </is>
      </c>
      <c r="N53" s="12" t="inlineStr">
        <is>
          <t>Not Validated Yet</t>
        </is>
      </c>
      <c r="O53" s="12" t="n"/>
      <c r="P53" s="12" t="n"/>
      <c r="Q53" s="19" t="inlineStr">
        <is>
          <t>Core CMCI</t>
        </is>
      </c>
      <c r="R53" s="19" t="inlineStr">
        <is>
          <t>Pivotal</t>
        </is>
      </c>
      <c r="S53" s="12" t="n"/>
      <c r="T53" s="14" t="n">
        <v>46342</v>
      </c>
      <c r="U53" s="14">
        <f>T53+7</f>
        <v/>
      </c>
      <c r="V53" s="13" t="n"/>
      <c r="JL53" s="10" t="n"/>
    </row>
    <row r="54" customFormat="1" s="1">
      <c r="A54" s="12" t="inlineStr">
        <is>
          <t>189472</t>
        </is>
      </c>
      <c r="B54" s="12" t="n">
        <v>6965</v>
      </c>
      <c r="C54" s="12" t="inlineStr">
        <is>
          <t>06965</t>
        </is>
      </c>
      <c r="D54" s="12" t="inlineStr">
        <is>
          <t>07</t>
        </is>
      </c>
      <c r="E54" s="12" t="inlineStr">
        <is>
          <t>36</t>
        </is>
      </c>
      <c r="F54" s="12" t="inlineStr">
        <is>
          <t>04</t>
        </is>
      </c>
      <c r="G54" s="12" t="n">
        <v>148</v>
      </c>
      <c r="H54" s="12" t="inlineStr">
        <is>
          <t>7203 SKILLMAN ST.</t>
        </is>
      </c>
      <c r="I54" s="12" t="inlineStr">
        <is>
          <t>DALLAS</t>
        </is>
      </c>
      <c r="J54" s="12" t="inlineStr">
        <is>
          <t>TX</t>
        </is>
      </c>
      <c r="K54" s="12" t="inlineStr">
        <is>
          <t>75231</t>
        </is>
      </c>
      <c r="L54" s="12" t="inlineStr">
        <is>
          <t>Freestanding Pad</t>
        </is>
      </c>
      <c r="M54" s="12" t="inlineStr">
        <is>
          <t>Soto; Joseph</t>
        </is>
      </c>
      <c r="N54" s="12" t="inlineStr">
        <is>
          <t>Not Validated Yet</t>
        </is>
      </c>
      <c r="O54" s="12" t="inlineStr">
        <is>
          <t>MV</t>
        </is>
      </c>
      <c r="P54" s="12" t="n"/>
      <c r="Q54" s="19" t="inlineStr">
        <is>
          <t>Core CMCI</t>
        </is>
      </c>
      <c r="R54" s="19" t="inlineStr">
        <is>
          <t>Pivotal</t>
        </is>
      </c>
      <c r="S54" s="12" t="n"/>
      <c r="T54" s="14" t="n">
        <v>46342</v>
      </c>
      <c r="U54" s="14">
        <f>T54+7</f>
        <v/>
      </c>
      <c r="V54" s="13" t="n"/>
      <c r="JL54" s="10" t="n"/>
    </row>
    <row r="55" customFormat="1" s="1">
      <c r="A55" s="12" t="inlineStr">
        <is>
          <t>189987</t>
        </is>
      </c>
      <c r="B55" s="12" t="n">
        <v>10523</v>
      </c>
      <c r="C55" s="12" t="inlineStr">
        <is>
          <t>10523</t>
        </is>
      </c>
      <c r="D55" s="12" t="inlineStr">
        <is>
          <t>07</t>
        </is>
      </c>
      <c r="E55" s="12" t="inlineStr">
        <is>
          <t>37</t>
        </is>
      </c>
      <c r="F55" s="12" t="inlineStr">
        <is>
          <t>05</t>
        </is>
      </c>
      <c r="G55" s="12" t="n">
        <v>149</v>
      </c>
      <c r="H55" s="12" t="inlineStr">
        <is>
          <t>270 STONEBROOK PKWY.</t>
        </is>
      </c>
      <c r="I55" s="12" t="inlineStr">
        <is>
          <t>FRISCO</t>
        </is>
      </c>
      <c r="J55" s="12" t="inlineStr">
        <is>
          <t>TX</t>
        </is>
      </c>
      <c r="K55" s="12" t="inlineStr">
        <is>
          <t>75036</t>
        </is>
      </c>
      <c r="L55" s="12" t="inlineStr">
        <is>
          <t>Freestanding</t>
        </is>
      </c>
      <c r="M55" s="12" t="inlineStr">
        <is>
          <t>Soto; Joseph</t>
        </is>
      </c>
      <c r="N55" s="12" t="inlineStr">
        <is>
          <t>Not Validated Yet</t>
        </is>
      </c>
      <c r="O55" s="12" t="n"/>
      <c r="P55" s="12" t="n"/>
      <c r="Q55" s="19" t="inlineStr">
        <is>
          <t>Core CMCI</t>
        </is>
      </c>
      <c r="R55" s="19" t="inlineStr">
        <is>
          <t>Channel Partners</t>
        </is>
      </c>
      <c r="S55" s="12" t="n"/>
      <c r="T55" s="14" t="n">
        <v>46342</v>
      </c>
      <c r="U55" s="14">
        <f>T55+7</f>
        <v/>
      </c>
      <c r="V55" s="13" t="n"/>
      <c r="JL55" s="11" t="n"/>
    </row>
    <row r="56" customFormat="1" s="1">
      <c r="A56" s="12" t="inlineStr">
        <is>
          <t>189427</t>
        </is>
      </c>
      <c r="B56" s="12" t="n">
        <v>5952</v>
      </c>
      <c r="C56" s="12" t="inlineStr">
        <is>
          <t>05952</t>
        </is>
      </c>
      <c r="D56" s="12" t="inlineStr">
        <is>
          <t>07</t>
        </is>
      </c>
      <c r="E56" s="12" t="inlineStr">
        <is>
          <t>37</t>
        </is>
      </c>
      <c r="F56" s="12" t="inlineStr">
        <is>
          <t>05</t>
        </is>
      </c>
      <c r="G56" s="12" t="n">
        <v>149</v>
      </c>
      <c r="H56" s="12" t="inlineStr">
        <is>
          <t>2313 W. UNIVERSITY AVE.</t>
        </is>
      </c>
      <c r="I56" s="12" t="inlineStr">
        <is>
          <t>MCKINNEY</t>
        </is>
      </c>
      <c r="J56" s="12" t="inlineStr">
        <is>
          <t>TX</t>
        </is>
      </c>
      <c r="K56" s="12" t="inlineStr">
        <is>
          <t>75071</t>
        </is>
      </c>
      <c r="L56" s="12" t="inlineStr">
        <is>
          <t>Freestanding</t>
        </is>
      </c>
      <c r="M56" s="12" t="inlineStr">
        <is>
          <t>Soto; Joseph</t>
        </is>
      </c>
      <c r="N56" s="12" t="inlineStr">
        <is>
          <t>Not Validated Yet</t>
        </is>
      </c>
      <c r="O56" s="12" t="n"/>
      <c r="P56" s="12" t="n"/>
      <c r="Q56" s="19" t="inlineStr">
        <is>
          <t>Core CMCI</t>
        </is>
      </c>
      <c r="R56" s="19" t="inlineStr">
        <is>
          <t>Channel Partners</t>
        </is>
      </c>
      <c r="S56" s="12" t="n"/>
      <c r="T56" s="14" t="n">
        <v>46342</v>
      </c>
      <c r="U56" s="14">
        <f>T56+7</f>
        <v/>
      </c>
      <c r="V56" s="13" t="n"/>
      <c r="JL56" s="2" t="n"/>
    </row>
    <row r="57" customFormat="1" s="1">
      <c r="A57" s="12" t="inlineStr">
        <is>
          <t>189522</t>
        </is>
      </c>
      <c r="B57" s="12" t="n">
        <v>7120</v>
      </c>
      <c r="C57" s="12" t="inlineStr">
        <is>
          <t>07120</t>
        </is>
      </c>
      <c r="D57" s="12" t="inlineStr">
        <is>
          <t>07</t>
        </is>
      </c>
      <c r="E57" s="12" t="inlineStr">
        <is>
          <t>33</t>
        </is>
      </c>
      <c r="F57" s="12" t="inlineStr">
        <is>
          <t>04</t>
        </is>
      </c>
      <c r="G57" s="12" t="n">
        <v>145</v>
      </c>
      <c r="H57" s="12" t="inlineStr">
        <is>
          <t>11600 SHADOW CREEK PKWY.</t>
        </is>
      </c>
      <c r="I57" s="12" t="inlineStr">
        <is>
          <t>PEARLAND</t>
        </is>
      </c>
      <c r="J57" s="12" t="inlineStr">
        <is>
          <t>TX</t>
        </is>
      </c>
      <c r="K57" s="12" t="inlineStr">
        <is>
          <t>77584</t>
        </is>
      </c>
      <c r="L57" s="12" t="inlineStr">
        <is>
          <t>Freestanding Pad</t>
        </is>
      </c>
      <c r="M57" s="12" t="inlineStr">
        <is>
          <t>Cathey; Chris C.</t>
        </is>
      </c>
      <c r="N57" s="12" t="inlineStr">
        <is>
          <t>Not Validated Yet</t>
        </is>
      </c>
      <c r="O57" s="12" t="n"/>
      <c r="P57" s="12" t="n"/>
      <c r="Q57" s="19" t="inlineStr">
        <is>
          <t>Core CMCI</t>
        </is>
      </c>
      <c r="R57" s="19" t="inlineStr">
        <is>
          <t>Pivotal</t>
        </is>
      </c>
      <c r="S57" s="12" t="n"/>
      <c r="T57" s="14" t="n">
        <v>46356</v>
      </c>
      <c r="U57" s="14">
        <f>T57+7</f>
        <v/>
      </c>
      <c r="V57" s="13" t="n"/>
    </row>
    <row r="58" customFormat="1" s="1">
      <c r="A58" s="12" t="inlineStr">
        <is>
          <t>189420</t>
        </is>
      </c>
      <c r="B58" s="12" t="n">
        <v>6000</v>
      </c>
      <c r="C58" s="12" t="inlineStr">
        <is>
          <t>06000</t>
        </is>
      </c>
      <c r="D58" s="12" t="inlineStr">
        <is>
          <t>07</t>
        </is>
      </c>
      <c r="E58" s="12" t="inlineStr">
        <is>
          <t>33</t>
        </is>
      </c>
      <c r="F58" s="12" t="inlineStr">
        <is>
          <t>04</t>
        </is>
      </c>
      <c r="G58" s="12" t="n">
        <v>145</v>
      </c>
      <c r="H58" s="12" t="inlineStr">
        <is>
          <t>4101 FAIRMONT PKWY.,</t>
        </is>
      </c>
      <c r="I58" s="12" t="inlineStr">
        <is>
          <t>PASADENA</t>
        </is>
      </c>
      <c r="J58" s="12" t="inlineStr">
        <is>
          <t>TX</t>
        </is>
      </c>
      <c r="K58" s="12" t="inlineStr">
        <is>
          <t>77504</t>
        </is>
      </c>
      <c r="L58" s="12" t="inlineStr">
        <is>
          <t>Freestanding</t>
        </is>
      </c>
      <c r="M58" s="12" t="inlineStr">
        <is>
          <t>Cathey; Chris C.</t>
        </is>
      </c>
      <c r="N58" s="12" t="inlineStr">
        <is>
          <t>Not Validated Yet</t>
        </is>
      </c>
      <c r="O58" s="12" t="n"/>
      <c r="P58" s="12" t="n"/>
      <c r="Q58" s="19" t="inlineStr">
        <is>
          <t>Core CMCI</t>
        </is>
      </c>
      <c r="R58" s="19" t="inlineStr">
        <is>
          <t>Pivotal</t>
        </is>
      </c>
      <c r="S58" s="12" t="n"/>
      <c r="T58" s="14" t="n">
        <v>46356</v>
      </c>
      <c r="U58" s="14">
        <f>T58+7</f>
        <v/>
      </c>
      <c r="V58" s="13" t="n"/>
    </row>
    <row r="59" customFormat="1" s="1">
      <c r="A59" s="12" t="inlineStr">
        <is>
          <t>189980</t>
        </is>
      </c>
      <c r="B59" s="12" t="n">
        <v>10544</v>
      </c>
      <c r="C59" s="12" t="inlineStr">
        <is>
          <t>10544</t>
        </is>
      </c>
      <c r="D59" s="12" t="inlineStr">
        <is>
          <t>07</t>
        </is>
      </c>
      <c r="E59" s="12" t="inlineStr">
        <is>
          <t>34</t>
        </is>
      </c>
      <c r="F59" s="12" t="inlineStr">
        <is>
          <t>04</t>
        </is>
      </c>
      <c r="G59" s="12" t="n">
        <v>146</v>
      </c>
      <c r="H59" s="12" t="inlineStr">
        <is>
          <t>5902 FM 1463 RD.</t>
        </is>
      </c>
      <c r="I59" s="12" t="inlineStr">
        <is>
          <t>KATY</t>
        </is>
      </c>
      <c r="J59" s="12" t="inlineStr">
        <is>
          <t>TX</t>
        </is>
      </c>
      <c r="K59" s="12" t="inlineStr">
        <is>
          <t>77494</t>
        </is>
      </c>
      <c r="L59" s="12" t="inlineStr">
        <is>
          <t>Freestanding</t>
        </is>
      </c>
      <c r="M59" s="12" t="inlineStr">
        <is>
          <t>Soto; Joseph</t>
        </is>
      </c>
      <c r="N59" s="12" t="inlineStr">
        <is>
          <t>Not Validated Yet</t>
        </is>
      </c>
      <c r="O59" s="12" t="n"/>
      <c r="P59" s="12" t="n"/>
      <c r="Q59" s="19" t="inlineStr">
        <is>
          <t>Core CMCI</t>
        </is>
      </c>
      <c r="R59" s="19" t="inlineStr">
        <is>
          <t>Merchco</t>
        </is>
      </c>
      <c r="S59" s="12" t="n"/>
      <c r="T59" s="14" t="n">
        <v>46356</v>
      </c>
      <c r="U59" s="14">
        <f>T59+7</f>
        <v/>
      </c>
      <c r="V59" s="13" t="n"/>
      <c r="JL59" s="1" t="n"/>
    </row>
    <row r="60" customFormat="1" s="1">
      <c r="A60" s="12" t="inlineStr">
        <is>
          <t>190023</t>
        </is>
      </c>
      <c r="B60" s="12" t="n">
        <v>10604</v>
      </c>
      <c r="C60" s="12" t="inlineStr">
        <is>
          <t>10604</t>
        </is>
      </c>
      <c r="D60" s="12" t="inlineStr">
        <is>
          <t>07</t>
        </is>
      </c>
      <c r="E60" s="12" t="inlineStr">
        <is>
          <t>33</t>
        </is>
      </c>
      <c r="F60" s="12" t="inlineStr">
        <is>
          <t>04</t>
        </is>
      </c>
      <c r="G60" s="12" t="n">
        <v>146</v>
      </c>
      <c r="H60" s="12" t="inlineStr">
        <is>
          <t>4489 COUNTY ROAD 94</t>
        </is>
      </c>
      <c r="I60" s="12" t="inlineStr">
        <is>
          <t>MANVEL</t>
        </is>
      </c>
      <c r="J60" s="12" t="inlineStr">
        <is>
          <t>TX</t>
        </is>
      </c>
      <c r="K60" s="12" t="inlineStr">
        <is>
          <t>77578</t>
        </is>
      </c>
      <c r="L60" s="12" t="inlineStr">
        <is>
          <t>Freestanding</t>
        </is>
      </c>
      <c r="M60" s="12" t="inlineStr">
        <is>
          <t>Soto; Joseph</t>
        </is>
      </c>
      <c r="N60" s="12" t="inlineStr">
        <is>
          <t>Not Validated Yet</t>
        </is>
      </c>
      <c r="O60" s="12" t="n"/>
      <c r="P60" s="12" t="n"/>
      <c r="Q60" s="19" t="inlineStr">
        <is>
          <t>Core CMCI</t>
        </is>
      </c>
      <c r="R60" s="19" t="inlineStr">
        <is>
          <t>Merchco</t>
        </is>
      </c>
      <c r="S60" s="12" t="n"/>
      <c r="T60" s="14" t="n">
        <v>46356</v>
      </c>
      <c r="U60" s="14">
        <f>T60+7</f>
        <v/>
      </c>
      <c r="V60" s="13" t="n"/>
      <c r="JL60" s="1" t="n"/>
    </row>
    <row r="61" customFormat="1" s="1">
      <c r="A61" s="12" t="inlineStr">
        <is>
          <t>189024</t>
        </is>
      </c>
      <c r="B61" s="12" t="n">
        <v>928</v>
      </c>
      <c r="C61" s="12" t="inlineStr">
        <is>
          <t>00928</t>
        </is>
      </c>
      <c r="D61" s="12" t="inlineStr">
        <is>
          <t>07</t>
        </is>
      </c>
      <c r="E61" s="12" t="inlineStr">
        <is>
          <t>35</t>
        </is>
      </c>
      <c r="F61" s="12" t="inlineStr">
        <is>
          <t>01</t>
        </is>
      </c>
      <c r="G61" s="12" t="n">
        <v>147</v>
      </c>
      <c r="H61" s="12" t="inlineStr">
        <is>
          <t>800 WEST OLD SETTLERS BLVD</t>
        </is>
      </c>
      <c r="I61" s="12" t="inlineStr">
        <is>
          <t>ROUND ROCK</t>
        </is>
      </c>
      <c r="J61" s="12" t="inlineStr">
        <is>
          <t>TX</t>
        </is>
      </c>
      <c r="K61" s="12" t="inlineStr">
        <is>
          <t>78681</t>
        </is>
      </c>
      <c r="L61" s="12" t="inlineStr">
        <is>
          <t>Freestanding</t>
        </is>
      </c>
      <c r="M61" s="12" t="inlineStr">
        <is>
          <t>Soto; Joseph</t>
        </is>
      </c>
      <c r="N61" s="12" t="inlineStr">
        <is>
          <t>Not Validated Yet</t>
        </is>
      </c>
      <c r="O61" s="12" t="n"/>
      <c r="P61" s="12" t="n"/>
      <c r="Q61" s="19" t="inlineStr">
        <is>
          <t>Core CMCI</t>
        </is>
      </c>
      <c r="R61" s="19" t="inlineStr">
        <is>
          <t>Merchco</t>
        </is>
      </c>
      <c r="S61" s="12" t="n"/>
      <c r="T61" s="14" t="n">
        <v>46356</v>
      </c>
      <c r="U61" s="14">
        <f>T61+7</f>
        <v/>
      </c>
      <c r="V61" s="13" t="n"/>
      <c r="JL61" s="8" t="n"/>
    </row>
    <row r="62" customFormat="1" s="1">
      <c r="A62" s="12" t="inlineStr">
        <is>
          <t>188921</t>
        </is>
      </c>
      <c r="B62" s="12" t="n">
        <v>357</v>
      </c>
      <c r="C62" s="12" t="inlineStr">
        <is>
          <t>00357</t>
        </is>
      </c>
      <c r="D62" s="12" t="inlineStr">
        <is>
          <t>07</t>
        </is>
      </c>
      <c r="E62" s="12" t="inlineStr">
        <is>
          <t>35</t>
        </is>
      </c>
      <c r="F62" s="12" t="inlineStr">
        <is>
          <t>01</t>
        </is>
      </c>
      <c r="G62" s="12" t="n">
        <v>147</v>
      </c>
      <c r="H62" s="12" t="inlineStr">
        <is>
          <t>1701 E. PARMER LN.</t>
        </is>
      </c>
      <c r="I62" s="12" t="inlineStr">
        <is>
          <t>AUSTIN</t>
        </is>
      </c>
      <c r="J62" s="12" t="inlineStr">
        <is>
          <t>TX</t>
        </is>
      </c>
      <c r="K62" s="12" t="inlineStr">
        <is>
          <t>78754</t>
        </is>
      </c>
      <c r="L62" s="12" t="inlineStr">
        <is>
          <t>Freestanding</t>
        </is>
      </c>
      <c r="M62" s="12" t="inlineStr">
        <is>
          <t>Soto; Joseph</t>
        </is>
      </c>
      <c r="N62" s="12" t="inlineStr">
        <is>
          <t>Not Validated Yet</t>
        </is>
      </c>
      <c r="O62" s="12" t="n"/>
      <c r="P62" s="12" t="n"/>
      <c r="Q62" s="19" t="inlineStr">
        <is>
          <t>Core CMCI</t>
        </is>
      </c>
      <c r="R62" s="19" t="inlineStr">
        <is>
          <t>Merchco</t>
        </is>
      </c>
      <c r="S62" s="12" t="n"/>
      <c r="T62" s="14" t="n">
        <v>46356</v>
      </c>
      <c r="U62" s="14">
        <f>T62+7</f>
        <v/>
      </c>
      <c r="V62" s="13" t="n"/>
      <c r="JL62" s="8" t="n"/>
    </row>
    <row r="63" customFormat="1" s="1">
      <c r="A63" s="12" t="inlineStr">
        <is>
          <t>189524</t>
        </is>
      </c>
      <c r="B63" s="12" t="n">
        <v>7808</v>
      </c>
      <c r="C63" s="12" t="inlineStr">
        <is>
          <t>07808</t>
        </is>
      </c>
      <c r="D63" s="12" t="inlineStr">
        <is>
          <t>07</t>
        </is>
      </c>
      <c r="E63" s="12" t="inlineStr">
        <is>
          <t>35</t>
        </is>
      </c>
      <c r="F63" s="12" t="inlineStr">
        <is>
          <t>03</t>
        </is>
      </c>
      <c r="G63" s="12" t="n">
        <v>148</v>
      </c>
      <c r="H63" s="12" t="inlineStr">
        <is>
          <t>4805 MEDICAL DR</t>
        </is>
      </c>
      <c r="I63" s="12" t="inlineStr">
        <is>
          <t>SAN ANTONIO</t>
        </is>
      </c>
      <c r="J63" s="12" t="inlineStr">
        <is>
          <t>TX</t>
        </is>
      </c>
      <c r="K63" s="12" t="inlineStr">
        <is>
          <t>78229</t>
        </is>
      </c>
      <c r="L63" s="12" t="inlineStr">
        <is>
          <t>Freestanding</t>
        </is>
      </c>
      <c r="M63" s="12" t="inlineStr">
        <is>
          <t>Soto; Joseph</t>
        </is>
      </c>
      <c r="N63" s="12" t="inlineStr">
        <is>
          <t>Not Validated Yet</t>
        </is>
      </c>
      <c r="O63" s="12" t="n"/>
      <c r="P63" s="12" t="n"/>
      <c r="Q63" s="19" t="inlineStr">
        <is>
          <t>Core CMCI</t>
        </is>
      </c>
      <c r="R63" s="19" t="inlineStr">
        <is>
          <t>Pivotal</t>
        </is>
      </c>
      <c r="S63" s="12" t="n"/>
      <c r="T63" s="14" t="n">
        <v>46356</v>
      </c>
      <c r="U63" s="14">
        <f>T63+7</f>
        <v/>
      </c>
      <c r="V63" s="13" t="n"/>
      <c r="JL63" s="10" t="n"/>
    </row>
    <row r="64" customFormat="1" s="1">
      <c r="A64" s="12" t="inlineStr">
        <is>
          <t>189525</t>
        </is>
      </c>
      <c r="B64" s="12" t="n">
        <v>7784</v>
      </c>
      <c r="C64" s="12" t="inlineStr">
        <is>
          <t>07784</t>
        </is>
      </c>
      <c r="D64" s="12" t="inlineStr">
        <is>
          <t>07</t>
        </is>
      </c>
      <c r="E64" s="12" t="inlineStr">
        <is>
          <t>35</t>
        </is>
      </c>
      <c r="F64" s="12" t="inlineStr">
        <is>
          <t>03</t>
        </is>
      </c>
      <c r="G64" s="12" t="n">
        <v>148</v>
      </c>
      <c r="H64" s="12" t="inlineStr">
        <is>
          <t>110 S KING ST</t>
        </is>
      </c>
      <c r="I64" s="12" t="inlineStr">
        <is>
          <t>SEGUIN</t>
        </is>
      </c>
      <c r="J64" s="12" t="inlineStr">
        <is>
          <t>TX</t>
        </is>
      </c>
      <c r="K64" s="12" t="inlineStr">
        <is>
          <t>78155</t>
        </is>
      </c>
      <c r="L64" s="12" t="inlineStr">
        <is>
          <t>Freestanding</t>
        </is>
      </c>
      <c r="M64" s="12" t="inlineStr">
        <is>
          <t>Soto; Joseph</t>
        </is>
      </c>
      <c r="N64" s="12" t="inlineStr">
        <is>
          <t>Not Validated Yet</t>
        </is>
      </c>
      <c r="O64" s="12" t="n"/>
      <c r="P64" s="12" t="n"/>
      <c r="Q64" s="19" t="inlineStr">
        <is>
          <t>Core CMCI</t>
        </is>
      </c>
      <c r="R64" s="19" t="inlineStr">
        <is>
          <t>Pivotal</t>
        </is>
      </c>
      <c r="S64" s="12" t="n"/>
      <c r="T64" s="14" t="n">
        <v>46356</v>
      </c>
      <c r="U64" s="14">
        <f>T64+7</f>
        <v/>
      </c>
      <c r="V64" s="13" t="n"/>
      <c r="JL64" s="10" t="n"/>
    </row>
    <row r="65" customFormat="1" s="1">
      <c r="A65" s="12" t="inlineStr">
        <is>
          <t>189530</t>
        </is>
      </c>
      <c r="B65" s="12" t="n">
        <v>7562</v>
      </c>
      <c r="C65" s="12" t="inlineStr">
        <is>
          <t>07562</t>
        </is>
      </c>
      <c r="D65" s="12" t="inlineStr">
        <is>
          <t>07</t>
        </is>
      </c>
      <c r="E65" s="12" t="inlineStr">
        <is>
          <t>37</t>
        </is>
      </c>
      <c r="F65" s="12" t="inlineStr">
        <is>
          <t>05</t>
        </is>
      </c>
      <c r="G65" s="12" t="n">
        <v>149</v>
      </c>
      <c r="H65" s="12" t="inlineStr">
        <is>
          <t>9075 LEGACY DR.</t>
        </is>
      </c>
      <c r="I65" s="12" t="inlineStr">
        <is>
          <t>FRISCO</t>
        </is>
      </c>
      <c r="J65" s="12" t="inlineStr">
        <is>
          <t>TX</t>
        </is>
      </c>
      <c r="K65" s="12" t="inlineStr">
        <is>
          <t>75033</t>
        </is>
      </c>
      <c r="L65" s="12" t="inlineStr">
        <is>
          <t>Freestanding</t>
        </is>
      </c>
      <c r="M65" s="12" t="inlineStr">
        <is>
          <t>Soto; Joseph</t>
        </is>
      </c>
      <c r="N65" s="12" t="inlineStr">
        <is>
          <t>Not Validated Yet</t>
        </is>
      </c>
      <c r="O65" s="12" t="n"/>
      <c r="P65" s="12" t="n"/>
      <c r="Q65" s="19" t="inlineStr">
        <is>
          <t>Core CMCI</t>
        </is>
      </c>
      <c r="R65" s="19" t="inlineStr">
        <is>
          <t>Channel Partners</t>
        </is>
      </c>
      <c r="S65" s="12" t="n"/>
      <c r="T65" s="14" t="n">
        <v>46356</v>
      </c>
      <c r="U65" s="14">
        <f>T65+7</f>
        <v/>
      </c>
      <c r="V65" s="13" t="n"/>
      <c r="JL65" s="2" t="n"/>
    </row>
    <row r="66" customFormat="1" s="1">
      <c r="A66" s="12" t="inlineStr">
        <is>
          <t>189116</t>
        </is>
      </c>
      <c r="B66" s="12" t="n">
        <v>1543</v>
      </c>
      <c r="C66" s="12" t="inlineStr">
        <is>
          <t>01543</t>
        </is>
      </c>
      <c r="D66" s="12" t="inlineStr">
        <is>
          <t>07</t>
        </is>
      </c>
      <c r="E66" s="12" t="inlineStr">
        <is>
          <t>38</t>
        </is>
      </c>
      <c r="F66" s="12" t="inlineStr">
        <is>
          <t>01</t>
        </is>
      </c>
      <c r="G66" s="12" t="n">
        <v>149</v>
      </c>
      <c r="H66" s="12" t="inlineStr">
        <is>
          <t>7301 HILLSIDE RD.</t>
        </is>
      </c>
      <c r="I66" s="12" t="inlineStr">
        <is>
          <t>AMARILLO</t>
        </is>
      </c>
      <c r="J66" s="12" t="inlineStr">
        <is>
          <t>TX</t>
        </is>
      </c>
      <c r="K66" s="12" t="inlineStr">
        <is>
          <t>79119</t>
        </is>
      </c>
      <c r="L66" s="12" t="inlineStr">
        <is>
          <t>Freestanding</t>
        </is>
      </c>
      <c r="M66" s="12" t="inlineStr">
        <is>
          <t>Soto; Joseph</t>
        </is>
      </c>
      <c r="N66" s="12" t="inlineStr">
        <is>
          <t>Not Validated Yet</t>
        </is>
      </c>
      <c r="O66" s="12" t="n"/>
      <c r="P66" s="12" t="n"/>
      <c r="Q66" s="19" t="inlineStr">
        <is>
          <t>Core CMCI</t>
        </is>
      </c>
      <c r="R66" s="19" t="inlineStr">
        <is>
          <t>Channel Partners</t>
        </is>
      </c>
      <c r="S66" s="12" t="n"/>
      <c r="T66" s="14" t="n">
        <v>46356</v>
      </c>
      <c r="U66" s="14">
        <f>T66+7</f>
        <v/>
      </c>
      <c r="V66" s="13" t="n"/>
      <c r="JL66" s="2" t="n"/>
    </row>
  </sheetData>
  <autoFilter ref="A1:V66">
    <sortState ref="A2:JL1061">
      <sortCondition ref="Q1:Q10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J42"/>
  <sheetViews>
    <sheetView topLeftCell="A17" workbookViewId="0">
      <selection activeCell="H28" sqref="H28"/>
    </sheetView>
  </sheetViews>
  <sheetFormatPr baseColWidth="8" defaultRowHeight="14.4"/>
  <cols>
    <col width="6.578125" customWidth="1" style="26" min="3" max="3"/>
    <col width="7.68359375" customWidth="1" style="26" min="7" max="7"/>
    <col width="33.26171875" customWidth="1" style="26" min="8" max="8"/>
    <col width="20.41796875" customWidth="1" style="26" min="9" max="9"/>
    <col width="13" customWidth="1" style="26" min="10" max="10"/>
    <col width="22.15625" customWidth="1" style="26" min="12" max="13"/>
    <col width="14.68359375" customWidth="1" style="26" min="14" max="14"/>
    <col width="13.578125" customWidth="1" style="26" min="15" max="15"/>
    <col width="14.68359375" customWidth="1" style="26" min="16" max="16"/>
    <col width="15.83984375" customWidth="1" style="26" min="17" max="17"/>
    <col width="12.83984375" customWidth="1" style="26" min="18" max="18"/>
    <col width="16.83984375" customWidth="1" style="26" min="19" max="19"/>
  </cols>
  <sheetData>
    <row r="1" ht="28.8" customHeight="1" s="26">
      <c r="A1" s="18" t="inlineStr">
        <is>
          <t>Store #</t>
        </is>
      </c>
      <c r="B1" s="17" t="inlineStr">
        <is>
          <t>5 Digit Store</t>
        </is>
      </c>
      <c r="C1" s="17" t="inlineStr">
        <is>
          <t>CS#</t>
        </is>
      </c>
      <c r="D1" s="18" t="inlineStr">
        <is>
          <t>Div</t>
        </is>
      </c>
      <c r="E1" s="18" t="inlineStr">
        <is>
          <t>Reg</t>
        </is>
      </c>
      <c r="F1" s="18" t="inlineStr">
        <is>
          <t>Dist</t>
        </is>
      </c>
      <c r="G1" s="17" t="inlineStr">
        <is>
          <t>Cluster</t>
        </is>
      </c>
      <c r="H1" s="18" t="inlineStr">
        <is>
          <t>Address</t>
        </is>
      </c>
      <c r="I1" s="18" t="inlineStr">
        <is>
          <t>City</t>
        </is>
      </c>
      <c r="J1" s="18" t="inlineStr">
        <is>
          <t>State</t>
        </is>
      </c>
      <c r="K1" s="18" t="inlineStr">
        <is>
          <t>Zip</t>
        </is>
      </c>
      <c r="L1" s="18" t="inlineStr">
        <is>
          <t>Store Type</t>
        </is>
      </c>
      <c r="M1" s="18" t="inlineStr">
        <is>
          <t>PM/SPM</t>
        </is>
      </c>
      <c r="N1" s="15" t="inlineStr">
        <is>
          <t>Layout Validation Status</t>
        </is>
      </c>
      <c r="O1" s="15" t="inlineStr">
        <is>
          <t>MV or Store Labor?</t>
        </is>
      </c>
      <c r="P1" s="17" t="inlineStr">
        <is>
          <t>Merchandising Hours</t>
        </is>
      </c>
      <c r="Q1" s="17" t="inlineStr">
        <is>
          <t>Unit Configuration</t>
        </is>
      </c>
      <c r="R1" s="16" t="inlineStr">
        <is>
          <t>MSD</t>
        </is>
      </c>
      <c r="S1" s="16" t="inlineStr">
        <is>
          <t>CSD</t>
        </is>
      </c>
    </row>
    <row r="2" customFormat="1" s="1">
      <c r="A2" s="12" t="n">
        <v>9481</v>
      </c>
      <c r="B2" s="12" t="inlineStr">
        <is>
          <t>09481</t>
        </is>
      </c>
      <c r="C2" s="12" t="inlineStr">
        <is>
          <t>189774</t>
        </is>
      </c>
      <c r="D2" s="12" t="inlineStr">
        <is>
          <t>09</t>
        </is>
      </c>
      <c r="E2" s="12" t="inlineStr">
        <is>
          <t>89</t>
        </is>
      </c>
      <c r="F2" s="12" t="inlineStr">
        <is>
          <t>02</t>
        </is>
      </c>
      <c r="G2" s="12" t="n">
        <v>169</v>
      </c>
      <c r="H2" s="12" t="inlineStr">
        <is>
          <t>12444 BEACH BOULEVARD</t>
        </is>
      </c>
      <c r="I2" s="12" t="inlineStr">
        <is>
          <t>STANTON</t>
        </is>
      </c>
      <c r="J2" s="12" t="inlineStr">
        <is>
          <t>CA</t>
        </is>
      </c>
      <c r="K2" s="12" t="inlineStr">
        <is>
          <t>90680</t>
        </is>
      </c>
      <c r="L2" s="12" t="inlineStr">
        <is>
          <t>Freestanding</t>
        </is>
      </c>
      <c r="M2" s="12" t="inlineStr">
        <is>
          <t>Winkler; Jacob S</t>
        </is>
      </c>
      <c r="N2" s="12" t="inlineStr">
        <is>
          <t>Rejected</t>
        </is>
      </c>
      <c r="O2" s="12" t="n"/>
      <c r="P2" s="13" t="n"/>
      <c r="Q2" s="13" t="n"/>
      <c r="R2" s="14" t="n">
        <v>46335</v>
      </c>
      <c r="S2" s="14">
        <f>R2+7</f>
        <v/>
      </c>
    </row>
    <row r="3" customFormat="1" s="1">
      <c r="A3" s="12" t="n">
        <v>915</v>
      </c>
      <c r="B3" s="12" t="inlineStr">
        <is>
          <t>00915</t>
        </is>
      </c>
      <c r="C3" s="12" t="inlineStr">
        <is>
          <t>188989</t>
        </is>
      </c>
      <c r="D3" s="12" t="inlineStr">
        <is>
          <t>01</t>
        </is>
      </c>
      <c r="E3" s="12" t="inlineStr">
        <is>
          <t>02</t>
        </is>
      </c>
      <c r="F3" s="12" t="inlineStr">
        <is>
          <t>03</t>
        </is>
      </c>
      <c r="G3" s="12" t="n">
        <v>105</v>
      </c>
      <c r="H3" s="12" t="inlineStr">
        <is>
          <t>19 DODGE ST.</t>
        </is>
      </c>
      <c r="I3" s="12" t="inlineStr">
        <is>
          <t>BEVERLY</t>
        </is>
      </c>
      <c r="J3" s="12" t="inlineStr">
        <is>
          <t>MA</t>
        </is>
      </c>
      <c r="K3" s="12" t="inlineStr">
        <is>
          <t>01915</t>
        </is>
      </c>
      <c r="L3" s="12" t="inlineStr">
        <is>
          <t>Freestanding Pad</t>
        </is>
      </c>
      <c r="M3" s="12" t="inlineStr">
        <is>
          <t>Wheeler; Nicolas</t>
        </is>
      </c>
      <c r="N3" s="12" t="inlineStr">
        <is>
          <t>Rejected</t>
        </is>
      </c>
      <c r="O3" s="13" t="n"/>
      <c r="P3" s="13" t="n"/>
      <c r="Q3" s="13" t="n"/>
      <c r="R3" s="14" t="n">
        <v>46300</v>
      </c>
      <c r="S3" s="14">
        <f>R3+7</f>
        <v/>
      </c>
    </row>
    <row r="4" customFormat="1" s="11">
      <c r="A4" s="12" t="n">
        <v>224</v>
      </c>
      <c r="B4" s="12" t="inlineStr">
        <is>
          <t>00224</t>
        </is>
      </c>
      <c r="C4" s="12" t="inlineStr">
        <is>
          <t>188874</t>
        </is>
      </c>
      <c r="D4" s="12" t="inlineStr">
        <is>
          <t>01</t>
        </is>
      </c>
      <c r="E4" s="12" t="inlineStr">
        <is>
          <t>02</t>
        </is>
      </c>
      <c r="F4" s="12" t="inlineStr">
        <is>
          <t>03</t>
        </is>
      </c>
      <c r="G4" s="12" t="n">
        <v>105</v>
      </c>
      <c r="H4" s="12" t="inlineStr">
        <is>
          <t>650 MAIN STREET</t>
        </is>
      </c>
      <c r="I4" s="12" t="inlineStr">
        <is>
          <t>READING</t>
        </is>
      </c>
      <c r="J4" s="12" t="inlineStr">
        <is>
          <t>MA</t>
        </is>
      </c>
      <c r="K4" s="12" t="inlineStr">
        <is>
          <t>01867</t>
        </is>
      </c>
      <c r="L4" s="12" t="inlineStr">
        <is>
          <t>Downtown</t>
        </is>
      </c>
      <c r="M4" s="12" t="inlineStr">
        <is>
          <t>Wheeler; Nicolas</t>
        </is>
      </c>
      <c r="N4" s="12" t="inlineStr">
        <is>
          <t>Rejected</t>
        </is>
      </c>
      <c r="O4" s="13" t="n"/>
      <c r="P4" s="13" t="n"/>
      <c r="Q4" s="13" t="n"/>
      <c r="R4" s="14" t="n">
        <v>46314</v>
      </c>
      <c r="S4" s="14">
        <f>R4+7</f>
        <v/>
      </c>
    </row>
    <row r="5" customFormat="1" s="1">
      <c r="A5" s="12" t="n">
        <v>860</v>
      </c>
      <c r="B5" s="12" t="inlineStr">
        <is>
          <t>00860</t>
        </is>
      </c>
      <c r="C5" s="12" t="inlineStr">
        <is>
          <t>188992</t>
        </is>
      </c>
      <c r="D5" s="12" t="inlineStr">
        <is>
          <t>01</t>
        </is>
      </c>
      <c r="E5" s="12" t="inlineStr">
        <is>
          <t>03</t>
        </is>
      </c>
      <c r="F5" s="12" t="inlineStr">
        <is>
          <t>02</t>
        </is>
      </c>
      <c r="G5" s="12" t="n">
        <v>106</v>
      </c>
      <c r="H5" s="12" t="inlineStr">
        <is>
          <t>6 POST OFFICE SQ</t>
        </is>
      </c>
      <c r="I5" s="12" t="inlineStr">
        <is>
          <t>HARWICHPORT</t>
        </is>
      </c>
      <c r="J5" s="12" t="inlineStr">
        <is>
          <t>MA</t>
        </is>
      </c>
      <c r="K5" s="12" t="inlineStr">
        <is>
          <t>02646</t>
        </is>
      </c>
      <c r="L5" s="12" t="inlineStr">
        <is>
          <t>Convenience</t>
        </is>
      </c>
      <c r="M5" s="12" t="inlineStr">
        <is>
          <t>Wheeler; Nicolas</t>
        </is>
      </c>
      <c r="N5" s="12" t="inlineStr">
        <is>
          <t>Rejected</t>
        </is>
      </c>
      <c r="O5" s="13" t="n"/>
      <c r="P5" s="13" t="n"/>
      <c r="Q5" s="13" t="n"/>
      <c r="R5" s="14" t="n">
        <v>46356</v>
      </c>
      <c r="S5" s="14">
        <f>R5+7</f>
        <v/>
      </c>
    </row>
    <row r="6" customFormat="1" s="1">
      <c r="A6" s="12" t="n">
        <v>1213</v>
      </c>
      <c r="B6" s="12" t="inlineStr">
        <is>
          <t>01213</t>
        </is>
      </c>
      <c r="C6" s="12" t="inlineStr">
        <is>
          <t>189038</t>
        </is>
      </c>
      <c r="D6" s="12" t="inlineStr">
        <is>
          <t>01</t>
        </is>
      </c>
      <c r="E6" s="12" t="inlineStr">
        <is>
          <t>04</t>
        </is>
      </c>
      <c r="F6" s="12" t="inlineStr">
        <is>
          <t>03</t>
        </is>
      </c>
      <c r="G6" s="12" t="n">
        <v>109</v>
      </c>
      <c r="H6" s="12" t="inlineStr">
        <is>
          <t>94 PARK STREET</t>
        </is>
      </c>
      <c r="I6" s="12" t="inlineStr">
        <is>
          <t>NEW CANAAN</t>
        </is>
      </c>
      <c r="J6" s="12" t="inlineStr">
        <is>
          <t>CT</t>
        </is>
      </c>
      <c r="K6" s="12" t="inlineStr">
        <is>
          <t>06840</t>
        </is>
      </c>
      <c r="L6" s="12" t="inlineStr">
        <is>
          <t>Downtown</t>
        </is>
      </c>
      <c r="M6" s="12" t="inlineStr">
        <is>
          <t>Charlotinambrose; Mildred</t>
        </is>
      </c>
      <c r="N6" s="12" t="inlineStr">
        <is>
          <t>Rejected</t>
        </is>
      </c>
      <c r="O6" s="13" t="n"/>
      <c r="P6" s="13" t="n"/>
      <c r="Q6" s="13" t="n"/>
      <c r="R6" s="14" t="n">
        <v>46335</v>
      </c>
      <c r="S6" s="14">
        <f>R6+7</f>
        <v/>
      </c>
    </row>
    <row r="7" customFormat="1" s="1">
      <c r="A7" s="12" t="n">
        <v>11060</v>
      </c>
      <c r="B7" s="12" t="inlineStr">
        <is>
          <t>11060</t>
        </is>
      </c>
      <c r="C7" s="12" t="inlineStr">
        <is>
          <t>190007</t>
        </is>
      </c>
      <c r="D7" s="12" t="inlineStr">
        <is>
          <t>02</t>
        </is>
      </c>
      <c r="E7" s="12" t="inlineStr">
        <is>
          <t>06</t>
        </is>
      </c>
      <c r="F7" s="12" t="inlineStr">
        <is>
          <t>05</t>
        </is>
      </c>
      <c r="G7" s="12" t="n">
        <v>115</v>
      </c>
      <c r="H7" s="12" t="inlineStr">
        <is>
          <t>1-50 50TH AVE</t>
        </is>
      </c>
      <c r="I7" s="12" t="inlineStr">
        <is>
          <t>LONG ISLAND CITY</t>
        </is>
      </c>
      <c r="J7" s="12" t="inlineStr">
        <is>
          <t>NY</t>
        </is>
      </c>
      <c r="K7" s="12" t="inlineStr">
        <is>
          <t>11101</t>
        </is>
      </c>
      <c r="L7" s="12" t="inlineStr">
        <is>
          <t>Downtown</t>
        </is>
      </c>
      <c r="M7" s="12" t="inlineStr">
        <is>
          <t>Kaegi; Jacqueline</t>
        </is>
      </c>
      <c r="N7" s="12" t="inlineStr">
        <is>
          <t>Rejected</t>
        </is>
      </c>
      <c r="O7" s="13" t="n"/>
      <c r="P7" s="13" t="n"/>
      <c r="Q7" s="13" t="n"/>
      <c r="R7" s="14" t="n">
        <v>46356</v>
      </c>
      <c r="S7" s="14">
        <f>R7+7</f>
        <v/>
      </c>
    </row>
    <row r="8" customFormat="1" s="1">
      <c r="A8" s="12" t="n">
        <v>1833</v>
      </c>
      <c r="B8" s="12" t="inlineStr">
        <is>
          <t>01833</t>
        </is>
      </c>
      <c r="C8" s="12" t="inlineStr">
        <is>
          <t>189103</t>
        </is>
      </c>
      <c r="D8" s="12" t="inlineStr">
        <is>
          <t>02</t>
        </is>
      </c>
      <c r="E8" s="12" t="inlineStr">
        <is>
          <t>17</t>
        </is>
      </c>
      <c r="F8" s="12" t="inlineStr">
        <is>
          <t>02</t>
        </is>
      </c>
      <c r="G8" s="12" t="n">
        <v>120</v>
      </c>
      <c r="H8" s="12" t="inlineStr">
        <is>
          <t>4238 WILSON BLVD/BALLSTON COMMONS #1831</t>
        </is>
      </c>
      <c r="I8" s="12" t="inlineStr">
        <is>
          <t>ARLINGTON</t>
        </is>
      </c>
      <c r="J8" s="12" t="inlineStr">
        <is>
          <t>VA</t>
        </is>
      </c>
      <c r="K8" s="12" t="inlineStr">
        <is>
          <t>22203</t>
        </is>
      </c>
      <c r="L8" s="12" t="inlineStr">
        <is>
          <t>Regional Mall</t>
        </is>
      </c>
      <c r="M8" s="12" t="inlineStr">
        <is>
          <t>Meath; Lori A.</t>
        </is>
      </c>
      <c r="N8" s="12" t="inlineStr">
        <is>
          <t>Rejected</t>
        </is>
      </c>
      <c r="O8" s="13" t="n"/>
      <c r="P8" s="13" t="n"/>
      <c r="Q8" s="13" t="n"/>
      <c r="R8" s="14" t="n">
        <v>46314</v>
      </c>
      <c r="S8" s="14">
        <f>R8+7</f>
        <v/>
      </c>
    </row>
    <row r="9" customFormat="1" s="1">
      <c r="A9" s="12" t="n">
        <v>8088</v>
      </c>
      <c r="B9" s="12" t="inlineStr">
        <is>
          <t>08088</t>
        </is>
      </c>
      <c r="C9" s="12" t="inlineStr">
        <is>
          <t>189571</t>
        </is>
      </c>
      <c r="D9" s="12" t="inlineStr">
        <is>
          <t>03</t>
        </is>
      </c>
      <c r="E9" s="12" t="inlineStr">
        <is>
          <t>58</t>
        </is>
      </c>
      <c r="F9" s="12" t="inlineStr">
        <is>
          <t>02</t>
        </is>
      </c>
      <c r="G9" s="12" t="n">
        <v>130</v>
      </c>
      <c r="H9" s="12" t="inlineStr">
        <is>
          <t>2100 W. STADIUM BLVD.</t>
        </is>
      </c>
      <c r="I9" s="12" t="inlineStr">
        <is>
          <t>ANN ARBOR</t>
        </is>
      </c>
      <c r="J9" s="12" t="inlineStr">
        <is>
          <t>MI</t>
        </is>
      </c>
      <c r="K9" s="12" t="inlineStr">
        <is>
          <t>48103</t>
        </is>
      </c>
      <c r="L9" s="12" t="inlineStr">
        <is>
          <t>Freestanding</t>
        </is>
      </c>
      <c r="M9" s="12" t="inlineStr">
        <is>
          <t>Clark; Josh D.</t>
        </is>
      </c>
      <c r="N9" s="12" t="inlineStr">
        <is>
          <t>Rejected</t>
        </is>
      </c>
      <c r="O9" s="13" t="n"/>
      <c r="P9" s="13" t="n"/>
      <c r="Q9" s="13" t="n"/>
      <c r="R9" s="14" t="n">
        <v>46328</v>
      </c>
      <c r="S9" s="14">
        <f>R9+7</f>
        <v/>
      </c>
    </row>
    <row r="10" customFormat="1" s="1">
      <c r="A10" s="12" t="n">
        <v>1389</v>
      </c>
      <c r="B10" s="12" t="inlineStr">
        <is>
          <t>01389</t>
        </is>
      </c>
      <c r="C10" s="12" t="inlineStr">
        <is>
          <t>189072</t>
        </is>
      </c>
      <c r="D10" s="12" t="inlineStr">
        <is>
          <t>04</t>
        </is>
      </c>
      <c r="E10" s="12" t="inlineStr">
        <is>
          <t>19</t>
        </is>
      </c>
      <c r="F10" s="12" t="inlineStr">
        <is>
          <t>02</t>
        </is>
      </c>
      <c r="G10" s="12" t="n">
        <v>140</v>
      </c>
      <c r="H10" s="12" t="inlineStr">
        <is>
          <t>2912 CHAIN BRIDGE ROAD</t>
        </is>
      </c>
      <c r="I10" s="12" t="inlineStr">
        <is>
          <t>OAKTON</t>
        </is>
      </c>
      <c r="J10" s="12" t="inlineStr">
        <is>
          <t>VA</t>
        </is>
      </c>
      <c r="K10" s="12" t="inlineStr">
        <is>
          <t>22124</t>
        </is>
      </c>
      <c r="L10" s="12" t="inlineStr">
        <is>
          <t>Strip Shopping Center</t>
        </is>
      </c>
      <c r="M10" s="12" t="inlineStr">
        <is>
          <t>Meath; Lori A.</t>
        </is>
      </c>
      <c r="N10" s="12" t="inlineStr">
        <is>
          <t>Rejected</t>
        </is>
      </c>
      <c r="O10" s="13" t="n"/>
      <c r="P10" s="13" t="n"/>
      <c r="Q10" s="13" t="n"/>
      <c r="R10" s="14" t="n">
        <v>46307</v>
      </c>
      <c r="S10" s="14">
        <f>R10+7</f>
        <v/>
      </c>
    </row>
    <row r="11" customFormat="1" s="1">
      <c r="A11" s="12" t="n">
        <v>3705</v>
      </c>
      <c r="B11" s="12" t="inlineStr">
        <is>
          <t>03705</t>
        </is>
      </c>
      <c r="C11" s="12" t="inlineStr">
        <is>
          <t>189277</t>
        </is>
      </c>
      <c r="D11" s="12" t="inlineStr">
        <is>
          <t>05</t>
        </is>
      </c>
      <c r="E11" s="12" t="inlineStr">
        <is>
          <t>83</t>
        </is>
      </c>
      <c r="F11" s="12" t="inlineStr">
        <is>
          <t>03</t>
        </is>
      </c>
      <c r="G11" s="12" t="n">
        <v>144</v>
      </c>
      <c r="H11" s="12" t="inlineStr">
        <is>
          <t>10701 NW 41ST ST</t>
        </is>
      </c>
      <c r="I11" s="12" t="inlineStr">
        <is>
          <t>DORAL</t>
        </is>
      </c>
      <c r="J11" s="12" t="inlineStr">
        <is>
          <t>FL</t>
        </is>
      </c>
      <c r="K11" s="12" t="inlineStr">
        <is>
          <t>33178</t>
        </is>
      </c>
      <c r="L11" s="12" t="inlineStr">
        <is>
          <t>Freestanding</t>
        </is>
      </c>
      <c r="M11" s="12" t="inlineStr">
        <is>
          <t>townsend; kevin</t>
        </is>
      </c>
      <c r="N11" s="12" t="inlineStr">
        <is>
          <t>Rejected</t>
        </is>
      </c>
      <c r="O11" s="13" t="n"/>
      <c r="P11" s="13" t="n"/>
      <c r="Q11" s="13" t="n"/>
      <c r="R11" s="14" t="n">
        <v>46356</v>
      </c>
      <c r="S11" s="14">
        <f>R11+7</f>
        <v/>
      </c>
    </row>
    <row r="12" customFormat="1" s="4">
      <c r="A12" s="12" t="n">
        <v>5443</v>
      </c>
      <c r="B12" s="12" t="inlineStr">
        <is>
          <t>05443</t>
        </is>
      </c>
      <c r="C12" s="12" t="inlineStr">
        <is>
          <t>189374</t>
        </is>
      </c>
      <c r="D12" s="12" t="inlineStr">
        <is>
          <t>07</t>
        </is>
      </c>
      <c r="E12" s="12" t="inlineStr">
        <is>
          <t>32</t>
        </is>
      </c>
      <c r="F12" s="12" t="inlineStr">
        <is>
          <t>02</t>
        </is>
      </c>
      <c r="G12" s="12" t="n">
        <v>145</v>
      </c>
      <c r="H12" s="12" t="inlineStr">
        <is>
          <t>1920 KALISTE SALOOM</t>
        </is>
      </c>
      <c r="I12" s="12" t="inlineStr">
        <is>
          <t>LAFAYETTE</t>
        </is>
      </c>
      <c r="J12" s="12" t="inlineStr">
        <is>
          <t>LA</t>
        </is>
      </c>
      <c r="K12" s="12" t="inlineStr">
        <is>
          <t>70508</t>
        </is>
      </c>
      <c r="L12" s="12" t="inlineStr">
        <is>
          <t>Freestanding</t>
        </is>
      </c>
      <c r="M12" s="12" t="inlineStr">
        <is>
          <t>Cathey; Chris C.</t>
        </is>
      </c>
      <c r="N12" s="12" t="inlineStr">
        <is>
          <t>Rejected</t>
        </is>
      </c>
      <c r="O12" s="13" t="n"/>
      <c r="P12" s="13" t="n"/>
      <c r="Q12" s="13" t="n"/>
      <c r="R12" s="14" t="n">
        <v>46314</v>
      </c>
      <c r="S12" s="14">
        <f>R12+7</f>
        <v/>
      </c>
    </row>
    <row r="13" customFormat="1" s="4">
      <c r="A13" s="12" t="n">
        <v>7435</v>
      </c>
      <c r="B13" s="12" t="inlineStr">
        <is>
          <t>07435</t>
        </is>
      </c>
      <c r="C13" s="12" t="inlineStr">
        <is>
          <t>189520</t>
        </is>
      </c>
      <c r="D13" s="12" t="inlineStr">
        <is>
          <t>07</t>
        </is>
      </c>
      <c r="E13" s="12" t="inlineStr">
        <is>
          <t>33</t>
        </is>
      </c>
      <c r="F13" s="12" t="inlineStr">
        <is>
          <t>03</t>
        </is>
      </c>
      <c r="G13" s="12" t="n">
        <v>145</v>
      </c>
      <c r="H13" s="12" t="inlineStr">
        <is>
          <t>23865 FM 1314 RD.</t>
        </is>
      </c>
      <c r="I13" s="12" t="inlineStr">
        <is>
          <t>PORTER</t>
        </is>
      </c>
      <c r="J13" s="12" t="inlineStr">
        <is>
          <t>TX</t>
        </is>
      </c>
      <c r="K13" s="12" t="inlineStr">
        <is>
          <t>77365</t>
        </is>
      </c>
      <c r="L13" s="12" t="inlineStr">
        <is>
          <t>Freestanding</t>
        </is>
      </c>
      <c r="M13" s="12" t="inlineStr">
        <is>
          <t>Cathey; Chris C.</t>
        </is>
      </c>
      <c r="N13" s="12" t="inlineStr">
        <is>
          <t>Rejected</t>
        </is>
      </c>
      <c r="O13" s="13" t="n"/>
      <c r="P13" s="13" t="n"/>
      <c r="Q13" s="13" t="n"/>
      <c r="R13" s="14" t="n">
        <v>46335</v>
      </c>
      <c r="S13" s="14">
        <f>R13+7</f>
        <v/>
      </c>
    </row>
    <row r="14" customFormat="1" s="4">
      <c r="A14" s="12" t="n">
        <v>9108</v>
      </c>
      <c r="B14" s="12" t="inlineStr">
        <is>
          <t>09108</t>
        </is>
      </c>
      <c r="C14" s="12" t="inlineStr">
        <is>
          <t>189671</t>
        </is>
      </c>
      <c r="D14" s="12" t="inlineStr">
        <is>
          <t>09</t>
        </is>
      </c>
      <c r="E14" s="12" t="inlineStr">
        <is>
          <t>87</t>
        </is>
      </c>
      <c r="F14" s="12" t="inlineStr">
        <is>
          <t>04</t>
        </is>
      </c>
      <c r="G14" s="12" t="n">
        <v>165</v>
      </c>
      <c r="H14" s="12" t="inlineStr">
        <is>
          <t>1655 S. CENTRE CITY PKWY.</t>
        </is>
      </c>
      <c r="I14" s="12" t="inlineStr">
        <is>
          <t>ESCONDIDO</t>
        </is>
      </c>
      <c r="J14" s="12" t="inlineStr">
        <is>
          <t>CA</t>
        </is>
      </c>
      <c r="K14" s="12" t="inlineStr">
        <is>
          <t>92025</t>
        </is>
      </c>
      <c r="L14" s="12" t="inlineStr">
        <is>
          <t>Freestanding Pad</t>
        </is>
      </c>
      <c r="M14" s="12" t="inlineStr">
        <is>
          <t>Foster; Ryan</t>
        </is>
      </c>
      <c r="N14" s="12" t="inlineStr">
        <is>
          <t>Rejected</t>
        </is>
      </c>
      <c r="O14" s="13" t="n"/>
      <c r="P14" s="13" t="n"/>
      <c r="Q14" s="13" t="n"/>
      <c r="R14" s="14" t="n">
        <v>46321</v>
      </c>
      <c r="S14" s="14">
        <f>R14+7</f>
        <v/>
      </c>
    </row>
    <row r="15" customFormat="1" s="4">
      <c r="A15" s="12" t="n">
        <v>9614</v>
      </c>
      <c r="B15" s="12" t="inlineStr">
        <is>
          <t>09614</t>
        </is>
      </c>
      <c r="C15" s="12" t="inlineStr">
        <is>
          <t>189791</t>
        </is>
      </c>
      <c r="D15" s="12" t="inlineStr">
        <is>
          <t>09</t>
        </is>
      </c>
      <c r="E15" s="12" t="inlineStr">
        <is>
          <t>90</t>
        </is>
      </c>
      <c r="F15" s="12" t="inlineStr">
        <is>
          <t>02</t>
        </is>
      </c>
      <c r="G15" s="12" t="n">
        <v>172</v>
      </c>
      <c r="H15" s="12" t="inlineStr">
        <is>
          <t>1122 EAST BROADWAY</t>
        </is>
      </c>
      <c r="I15" s="12" t="inlineStr">
        <is>
          <t>GLENDALE</t>
        </is>
      </c>
      <c r="J15" s="12" t="inlineStr">
        <is>
          <t>CA</t>
        </is>
      </c>
      <c r="K15" s="12" t="inlineStr">
        <is>
          <t>91205</t>
        </is>
      </c>
      <c r="L15" s="12" t="inlineStr">
        <is>
          <t>Convenience</t>
        </is>
      </c>
      <c r="M15" s="12" t="inlineStr">
        <is>
          <t>Cathey; Chris C.</t>
        </is>
      </c>
      <c r="N15" s="12" t="inlineStr">
        <is>
          <t>Rejected</t>
        </is>
      </c>
      <c r="O15" s="13" t="n"/>
      <c r="P15" s="13" t="n"/>
      <c r="Q15" s="13" t="n"/>
      <c r="R15" s="14" t="n">
        <v>46314</v>
      </c>
      <c r="S15" s="14">
        <f>R15+7</f>
        <v/>
      </c>
    </row>
    <row r="16" customFormat="1" s="4">
      <c r="A16" s="12" t="n">
        <v>9787</v>
      </c>
      <c r="B16" s="12" t="inlineStr">
        <is>
          <t>09787</t>
        </is>
      </c>
      <c r="C16" s="12" t="inlineStr">
        <is>
          <t>189839</t>
        </is>
      </c>
      <c r="D16" s="12" t="inlineStr">
        <is>
          <t>09</t>
        </is>
      </c>
      <c r="E16" s="12" t="inlineStr">
        <is>
          <t>90</t>
        </is>
      </c>
      <c r="F16" s="12" t="inlineStr">
        <is>
          <t>02</t>
        </is>
      </c>
      <c r="G16" s="12" t="n">
        <v>172</v>
      </c>
      <c r="H16" s="12" t="inlineStr">
        <is>
          <t>3943 SAN FERNANDO RD.</t>
        </is>
      </c>
      <c r="I16" s="12" t="inlineStr">
        <is>
          <t>GLENDALE</t>
        </is>
      </c>
      <c r="J16" s="12" t="inlineStr">
        <is>
          <t>CA</t>
        </is>
      </c>
      <c r="K16" s="12" t="inlineStr">
        <is>
          <t>91204</t>
        </is>
      </c>
      <c r="L16" s="12" t="inlineStr">
        <is>
          <t>Freestanding</t>
        </is>
      </c>
      <c r="M16" s="12" t="inlineStr">
        <is>
          <t>Cathey; Chris C.</t>
        </is>
      </c>
      <c r="N16" s="12" t="inlineStr">
        <is>
          <t>Rejected</t>
        </is>
      </c>
      <c r="O16" s="13" t="n"/>
      <c r="P16" s="13" t="n"/>
      <c r="Q16" s="13" t="n"/>
      <c r="R16" s="14" t="n">
        <v>46321</v>
      </c>
      <c r="S16" s="14">
        <f>R16+7</f>
        <v/>
      </c>
    </row>
    <row r="17" customFormat="1" s="4">
      <c r="A17" s="12" t="n">
        <v>2981</v>
      </c>
      <c r="B17" s="12" t="inlineStr">
        <is>
          <t>02981</t>
        </is>
      </c>
      <c r="C17" s="12" t="inlineStr">
        <is>
          <t>189240</t>
        </is>
      </c>
      <c r="D17" s="12" t="inlineStr">
        <is>
          <t>12</t>
        </is>
      </c>
      <c r="E17" s="12" t="inlineStr">
        <is>
          <t>61</t>
        </is>
      </c>
      <c r="F17" s="12" t="inlineStr">
        <is>
          <t>04</t>
        </is>
      </c>
      <c r="G17" s="12" t="n">
        <v>183</v>
      </c>
      <c r="H17" s="12" t="inlineStr">
        <is>
          <t>1201 N. STATE ST.</t>
        </is>
      </c>
      <c r="I17" s="12" t="inlineStr">
        <is>
          <t>CHICAGO</t>
        </is>
      </c>
      <c r="J17" s="12" t="inlineStr">
        <is>
          <t>IL</t>
        </is>
      </c>
      <c r="K17" s="12" t="inlineStr">
        <is>
          <t>60610</t>
        </is>
      </c>
      <c r="L17" s="12" t="inlineStr">
        <is>
          <t>Freestanding</t>
        </is>
      </c>
      <c r="M17" s="12" t="inlineStr">
        <is>
          <t>O Rourke; Jessica A</t>
        </is>
      </c>
      <c r="N17" s="12" t="inlineStr">
        <is>
          <t>Rejected</t>
        </is>
      </c>
      <c r="O17" s="13" t="n"/>
      <c r="P17" s="13" t="n"/>
      <c r="Q17" s="13" t="n"/>
      <c r="R17" s="14" t="n">
        <v>46342</v>
      </c>
      <c r="S17" s="14">
        <f>R17+7</f>
        <v/>
      </c>
    </row>
    <row r="18" customFormat="1" s="4">
      <c r="A18" s="12" t="n">
        <v>2054</v>
      </c>
      <c r="B18" s="12" t="inlineStr">
        <is>
          <t>02054</t>
        </is>
      </c>
      <c r="C18" s="12" t="inlineStr">
        <is>
          <t>189131</t>
        </is>
      </c>
      <c r="D18" s="12" t="inlineStr">
        <is>
          <t>01</t>
        </is>
      </c>
      <c r="E18" s="12" t="inlineStr">
        <is>
          <t>03</t>
        </is>
      </c>
      <c r="F18" s="12" t="inlineStr">
        <is>
          <t>04</t>
        </is>
      </c>
      <c r="G18" s="12" t="n">
        <v>107</v>
      </c>
      <c r="H18" s="12" t="inlineStr">
        <is>
          <t>136 NAHATAN ST.</t>
        </is>
      </c>
      <c r="I18" s="12" t="inlineStr">
        <is>
          <t>NORWOOD</t>
        </is>
      </c>
      <c r="J18" s="12" t="inlineStr">
        <is>
          <t>MA</t>
        </is>
      </c>
      <c r="K18" s="12" t="inlineStr">
        <is>
          <t>02062</t>
        </is>
      </c>
      <c r="L18" s="12" t="inlineStr">
        <is>
          <t>Strip Shopping Center</t>
        </is>
      </c>
      <c r="M18" s="12" t="inlineStr">
        <is>
          <t>Manning; Robert</t>
        </is>
      </c>
      <c r="N18" s="12" t="inlineStr">
        <is>
          <t>Rejected</t>
        </is>
      </c>
      <c r="O18" s="13" t="n"/>
      <c r="P18" s="13" t="n"/>
      <c r="Q18" s="13" t="n"/>
      <c r="R18" s="14" t="n">
        <v>46321</v>
      </c>
      <c r="S18" s="14">
        <f>R18+7</f>
        <v/>
      </c>
    </row>
    <row r="19" customFormat="1" s="4">
      <c r="A19" s="12" t="n">
        <v>300</v>
      </c>
      <c r="B19" s="12" t="inlineStr">
        <is>
          <t>00300</t>
        </is>
      </c>
      <c r="C19" s="12" t="inlineStr">
        <is>
          <t>188892</t>
        </is>
      </c>
      <c r="D19" s="12" t="inlineStr">
        <is>
          <t>02</t>
        </is>
      </c>
      <c r="E19" s="12" t="inlineStr">
        <is>
          <t>06</t>
        </is>
      </c>
      <c r="F19" s="12" t="inlineStr">
        <is>
          <t>01</t>
        </is>
      </c>
      <c r="G19" s="12" t="n">
        <v>113</v>
      </c>
      <c r="H19" s="12" t="inlineStr">
        <is>
          <t>725 SAW MILL RIVER RD, ARDSLEY S/C</t>
        </is>
      </c>
      <c r="I19" s="12" t="inlineStr">
        <is>
          <t>ARDSLEY</t>
        </is>
      </c>
      <c r="J19" s="12" t="inlineStr">
        <is>
          <t>NY</t>
        </is>
      </c>
      <c r="K19" s="12" t="inlineStr">
        <is>
          <t>10502</t>
        </is>
      </c>
      <c r="L19" s="12" t="inlineStr">
        <is>
          <t>Convenience</t>
        </is>
      </c>
      <c r="M19" s="12" t="inlineStr">
        <is>
          <t>Kaegi; Jacqueline</t>
        </is>
      </c>
      <c r="N19" s="12" t="inlineStr">
        <is>
          <t>Rejected</t>
        </is>
      </c>
      <c r="O19" s="13" t="n"/>
      <c r="P19" s="13" t="n"/>
      <c r="Q19" s="13" t="n"/>
      <c r="R19" s="14" t="n">
        <v>46314</v>
      </c>
      <c r="S19" s="14">
        <f>R19+7</f>
        <v/>
      </c>
    </row>
    <row r="20" customFormat="1" s="4">
      <c r="A20" s="12" t="n">
        <v>1231</v>
      </c>
      <c r="B20" s="12" t="inlineStr">
        <is>
          <t>01231</t>
        </is>
      </c>
      <c r="C20" s="12" t="inlineStr">
        <is>
          <t>189043</t>
        </is>
      </c>
      <c r="D20" s="12" t="inlineStr">
        <is>
          <t>02</t>
        </is>
      </c>
      <c r="E20" s="12" t="inlineStr">
        <is>
          <t>06</t>
        </is>
      </c>
      <c r="F20" s="12" t="inlineStr">
        <is>
          <t>01</t>
        </is>
      </c>
      <c r="G20" s="12" t="n">
        <v>113</v>
      </c>
      <c r="H20" s="12" t="inlineStr">
        <is>
          <t>807 WHITE PLAINS RD.</t>
        </is>
      </c>
      <c r="I20" s="12" t="inlineStr">
        <is>
          <t>SCARSDALE</t>
        </is>
      </c>
      <c r="J20" s="12" t="inlineStr">
        <is>
          <t>NY</t>
        </is>
      </c>
      <c r="K20" s="12" t="inlineStr">
        <is>
          <t>10583</t>
        </is>
      </c>
      <c r="L20" s="12" t="inlineStr">
        <is>
          <t>Freestanding</t>
        </is>
      </c>
      <c r="M20" s="12" t="inlineStr">
        <is>
          <t>Kaegi; Jacqueline</t>
        </is>
      </c>
      <c r="N20" s="12" t="inlineStr">
        <is>
          <t>Rejected</t>
        </is>
      </c>
      <c r="O20" s="13" t="n"/>
      <c r="P20" s="13" t="n"/>
      <c r="Q20" s="13" t="n"/>
      <c r="R20" s="14" t="n">
        <v>46321</v>
      </c>
      <c r="S20" s="14">
        <f>R20+7</f>
        <v/>
      </c>
    </row>
    <row r="21" customFormat="1" s="4">
      <c r="A21" s="12" t="n">
        <v>2225</v>
      </c>
      <c r="B21" s="12" t="inlineStr">
        <is>
          <t>02225</t>
        </is>
      </c>
      <c r="C21" s="12" t="inlineStr">
        <is>
          <t>189142</t>
        </is>
      </c>
      <c r="D21" s="12" t="inlineStr">
        <is>
          <t>02</t>
        </is>
      </c>
      <c r="E21" s="12" t="inlineStr">
        <is>
          <t>08</t>
        </is>
      </c>
      <c r="F21" s="12" t="inlineStr">
        <is>
          <t>01</t>
        </is>
      </c>
      <c r="G21" s="12" t="n">
        <v>115</v>
      </c>
      <c r="H21" s="12" t="inlineStr">
        <is>
          <t>232 SMITHTOWN BOULEVARD</t>
        </is>
      </c>
      <c r="I21" s="12" t="inlineStr">
        <is>
          <t>NESCONSET</t>
        </is>
      </c>
      <c r="J21" s="12" t="inlineStr">
        <is>
          <t>NY</t>
        </is>
      </c>
      <c r="K21" s="12" t="inlineStr">
        <is>
          <t>11767</t>
        </is>
      </c>
      <c r="L21" s="12" t="inlineStr">
        <is>
          <t>Freestanding Pad</t>
        </is>
      </c>
      <c r="M21" s="12" t="inlineStr">
        <is>
          <t>Kaegi; Jacqueline</t>
        </is>
      </c>
      <c r="N21" s="12" t="inlineStr">
        <is>
          <t>Rejected</t>
        </is>
      </c>
      <c r="O21" s="13" t="n"/>
      <c r="P21" s="13" t="n"/>
      <c r="Q21" s="13" t="n"/>
      <c r="R21" s="14" t="n">
        <v>46328</v>
      </c>
      <c r="S21" s="14">
        <f>R21+7</f>
        <v/>
      </c>
    </row>
    <row r="22" customFormat="1" s="4">
      <c r="A22" s="12" t="n">
        <v>4323</v>
      </c>
      <c r="B22" s="12" t="inlineStr">
        <is>
          <t>04323</t>
        </is>
      </c>
      <c r="C22" s="12" t="inlineStr">
        <is>
          <t>189312</t>
        </is>
      </c>
      <c r="D22" s="12" t="inlineStr">
        <is>
          <t>03</t>
        </is>
      </c>
      <c r="E22" s="12" t="inlineStr">
        <is>
          <t>31</t>
        </is>
      </c>
      <c r="F22" s="12" t="inlineStr">
        <is>
          <t>01</t>
        </is>
      </c>
      <c r="G22" s="12" t="n">
        <v>127</v>
      </c>
      <c r="H22" s="12" t="inlineStr">
        <is>
          <t>10050 WOODLAND RD.</t>
        </is>
      </c>
      <c r="I22" s="12" t="inlineStr">
        <is>
          <t>LENEXA</t>
        </is>
      </c>
      <c r="J22" s="12" t="inlineStr">
        <is>
          <t>KS</t>
        </is>
      </c>
      <c r="K22" s="12" t="inlineStr">
        <is>
          <t>66220</t>
        </is>
      </c>
      <c r="L22" s="12" t="inlineStr">
        <is>
          <t>Freestanding Pad</t>
        </is>
      </c>
      <c r="M22" s="12" t="inlineStr">
        <is>
          <t>O Rourke; Jessica A</t>
        </is>
      </c>
      <c r="N22" s="12" t="inlineStr">
        <is>
          <t>Rejected</t>
        </is>
      </c>
      <c r="O22" s="13" t="n"/>
      <c r="P22" s="13" t="n"/>
      <c r="Q22" s="13" t="n"/>
      <c r="R22" s="14" t="n">
        <v>46321</v>
      </c>
      <c r="S22" s="14">
        <f>R22+7</f>
        <v/>
      </c>
    </row>
    <row r="23" customFormat="1" s="4">
      <c r="A23" s="12" t="n">
        <v>7859</v>
      </c>
      <c r="B23" s="12" t="inlineStr">
        <is>
          <t>07859</t>
        </is>
      </c>
      <c r="C23" s="12" t="inlineStr">
        <is>
          <t>189588</t>
        </is>
      </c>
      <c r="D23" s="12" t="inlineStr">
        <is>
          <t>08</t>
        </is>
      </c>
      <c r="E23" s="12" t="inlineStr">
        <is>
          <t>30</t>
        </is>
      </c>
      <c r="F23" s="12" t="inlineStr">
        <is>
          <t>04</t>
        </is>
      </c>
      <c r="G23" s="12" t="n">
        <v>151</v>
      </c>
      <c r="H23" s="12" t="inlineStr">
        <is>
          <t>6370 N. CAMPBELL AVE., #120</t>
        </is>
      </c>
      <c r="I23" s="12" t="inlineStr">
        <is>
          <t>TUCSON</t>
        </is>
      </c>
      <c r="J23" s="12" t="inlineStr">
        <is>
          <t>AZ</t>
        </is>
      </c>
      <c r="K23" s="12" t="inlineStr">
        <is>
          <t>85718</t>
        </is>
      </c>
      <c r="L23" s="12" t="inlineStr">
        <is>
          <t>Convenience</t>
        </is>
      </c>
      <c r="M23" s="12" t="inlineStr">
        <is>
          <t>Sotelo; Rolly</t>
        </is>
      </c>
      <c r="N23" s="12" t="inlineStr">
        <is>
          <t>Rejected</t>
        </is>
      </c>
      <c r="O23" s="13" t="n"/>
      <c r="P23" s="13" t="n"/>
      <c r="Q23" s="13" t="n"/>
      <c r="R23" s="14" t="n">
        <v>46356</v>
      </c>
      <c r="S23" s="14">
        <f>R23+7</f>
        <v/>
      </c>
    </row>
    <row r="24" customFormat="1" s="4">
      <c r="A24" s="12" t="n">
        <v>9498</v>
      </c>
      <c r="B24" s="12" t="inlineStr">
        <is>
          <t>09498</t>
        </is>
      </c>
      <c r="C24" s="12" t="inlineStr">
        <is>
          <t>189756</t>
        </is>
      </c>
      <c r="D24" s="12" t="inlineStr">
        <is>
          <t>09</t>
        </is>
      </c>
      <c r="E24" s="12" t="inlineStr">
        <is>
          <t>52</t>
        </is>
      </c>
      <c r="F24" s="12" t="inlineStr">
        <is>
          <t>01</t>
        </is>
      </c>
      <c r="G24" s="12" t="n">
        <v>157</v>
      </c>
      <c r="H24" s="12" t="inlineStr">
        <is>
          <t>1800 SARATOGA AVE.</t>
        </is>
      </c>
      <c r="I24" s="12" t="inlineStr">
        <is>
          <t>SAN JOSE</t>
        </is>
      </c>
      <c r="J24" s="12" t="inlineStr">
        <is>
          <t>CA</t>
        </is>
      </c>
      <c r="K24" s="12" t="inlineStr">
        <is>
          <t>95129</t>
        </is>
      </c>
      <c r="L24" s="12" t="inlineStr">
        <is>
          <t>Freestanding Pad</t>
        </is>
      </c>
      <c r="M24" s="12" t="inlineStr">
        <is>
          <t>Morgan; Marina L</t>
        </is>
      </c>
      <c r="N24" s="12" t="inlineStr">
        <is>
          <t>Rejected</t>
        </is>
      </c>
      <c r="O24" s="13" t="n"/>
      <c r="P24" s="13" t="n"/>
      <c r="Q24" s="13" t="n"/>
      <c r="R24" s="14" t="n">
        <v>46321</v>
      </c>
      <c r="S24" s="14">
        <f>R24+7</f>
        <v/>
      </c>
    </row>
    <row r="25" customFormat="1" s="6">
      <c r="A25" s="12" t="n">
        <v>7774</v>
      </c>
      <c r="B25" s="12" t="inlineStr">
        <is>
          <t>07774</t>
        </is>
      </c>
      <c r="C25" s="12" t="inlineStr">
        <is>
          <t>189535</t>
        </is>
      </c>
      <c r="D25" s="12" t="inlineStr">
        <is>
          <t>09</t>
        </is>
      </c>
      <c r="E25" s="12" t="inlineStr">
        <is>
          <t>52</t>
        </is>
      </c>
      <c r="F25" s="12" t="inlineStr">
        <is>
          <t>01</t>
        </is>
      </c>
      <c r="G25" s="12" t="n">
        <v>157</v>
      </c>
      <c r="H25" s="12" t="inlineStr">
        <is>
          <t>850 CALIFORNIA ST</t>
        </is>
      </c>
      <c r="I25" s="12" t="inlineStr">
        <is>
          <t>MOUNTAIN VIEW</t>
        </is>
      </c>
      <c r="J25" s="12" t="inlineStr">
        <is>
          <t>CA</t>
        </is>
      </c>
      <c r="K25" s="12" t="inlineStr">
        <is>
          <t>94041</t>
        </is>
      </c>
      <c r="L25" s="12" t="inlineStr">
        <is>
          <t>Downtown</t>
        </is>
      </c>
      <c r="M25" s="12" t="inlineStr">
        <is>
          <t>Morgan; Marina L</t>
        </is>
      </c>
      <c r="N25" s="12" t="inlineStr">
        <is>
          <t>Rejected</t>
        </is>
      </c>
      <c r="O25" s="13" t="n"/>
      <c r="P25" s="13" t="n"/>
      <c r="Q25" s="13" t="n"/>
      <c r="R25" s="14" t="n">
        <v>46321</v>
      </c>
      <c r="S25" s="14">
        <f>R25+7</f>
        <v/>
      </c>
    </row>
    <row r="26" customFormat="1" s="6">
      <c r="A26" s="12" t="n">
        <v>9148</v>
      </c>
      <c r="B26" s="12" t="inlineStr">
        <is>
          <t>09148</t>
        </is>
      </c>
      <c r="C26" s="12" t="inlineStr">
        <is>
          <t>189668</t>
        </is>
      </c>
      <c r="D26" s="12" t="inlineStr">
        <is>
          <t>09</t>
        </is>
      </c>
      <c r="E26" s="12" t="inlineStr">
        <is>
          <t>87</t>
        </is>
      </c>
      <c r="F26" s="12" t="inlineStr">
        <is>
          <t>03</t>
        </is>
      </c>
      <c r="G26" s="12" t="n">
        <v>164</v>
      </c>
      <c r="H26" s="12" t="inlineStr">
        <is>
          <t>313 WASHINGTON ST.</t>
        </is>
      </c>
      <c r="I26" s="12" t="inlineStr">
        <is>
          <t>SAN DIEGO</t>
        </is>
      </c>
      <c r="J26" s="12" t="inlineStr">
        <is>
          <t>CA</t>
        </is>
      </c>
      <c r="K26" s="12" t="inlineStr">
        <is>
          <t>92103</t>
        </is>
      </c>
      <c r="L26" s="12" t="inlineStr">
        <is>
          <t>Freestanding</t>
        </is>
      </c>
      <c r="M26" s="12" t="inlineStr">
        <is>
          <t>Foster; Ryan</t>
        </is>
      </c>
      <c r="N26" s="12" t="inlineStr">
        <is>
          <t>Rejected</t>
        </is>
      </c>
      <c r="O26" s="13" t="n"/>
      <c r="P26" s="13" t="n"/>
      <c r="Q26" s="13" t="n"/>
      <c r="R26" s="14" t="n">
        <v>46328</v>
      </c>
      <c r="S26" s="14">
        <f>R26+7</f>
        <v/>
      </c>
    </row>
    <row r="27" customFormat="1" s="6">
      <c r="A27" s="12" t="n">
        <v>9591</v>
      </c>
      <c r="B27" s="12" t="inlineStr">
        <is>
          <t>09591</t>
        </is>
      </c>
      <c r="C27" s="12" t="inlineStr">
        <is>
          <t>189768</t>
        </is>
      </c>
      <c r="D27" s="12" t="inlineStr">
        <is>
          <t>09</t>
        </is>
      </c>
      <c r="E27" s="12" t="inlineStr">
        <is>
          <t>88</t>
        </is>
      </c>
      <c r="F27" s="12" t="inlineStr">
        <is>
          <t>01</t>
        </is>
      </c>
      <c r="G27" s="12" t="n">
        <v>166</v>
      </c>
      <c r="H27" s="12" t="inlineStr">
        <is>
          <t>30842 S PACIFIC COAST</t>
        </is>
      </c>
      <c r="I27" s="12" t="inlineStr">
        <is>
          <t>LAGUNA BEACH</t>
        </is>
      </c>
      <c r="J27" s="12" t="inlineStr">
        <is>
          <t>CA</t>
        </is>
      </c>
      <c r="K27" s="12" t="inlineStr">
        <is>
          <t>92651</t>
        </is>
      </c>
      <c r="L27" s="12" t="inlineStr">
        <is>
          <t>Strip Shopping Center</t>
        </is>
      </c>
      <c r="M27" s="12" t="inlineStr">
        <is>
          <t>Fitzpatrick; John T</t>
        </is>
      </c>
      <c r="N27" s="12" t="inlineStr">
        <is>
          <t>Rejected</t>
        </is>
      </c>
      <c r="O27" s="13" t="n"/>
      <c r="P27" s="13" t="n"/>
      <c r="Q27" s="13" t="n"/>
      <c r="R27" s="14" t="n">
        <v>46321</v>
      </c>
      <c r="S27" s="14">
        <f>R27+7</f>
        <v/>
      </c>
    </row>
    <row r="28" customFormat="1" s="6">
      <c r="A28" s="12" t="n">
        <v>8837</v>
      </c>
      <c r="B28" s="12" t="inlineStr">
        <is>
          <t>08837</t>
        </is>
      </c>
      <c r="C28" s="12" t="inlineStr">
        <is>
          <t>189638</t>
        </is>
      </c>
      <c r="D28" s="12" t="inlineStr">
        <is>
          <t>09</t>
        </is>
      </c>
      <c r="E28" s="12" t="inlineStr">
        <is>
          <t>90</t>
        </is>
      </c>
      <c r="F28" s="12" t="inlineStr">
        <is>
          <t>03</t>
        </is>
      </c>
      <c r="G28" s="12" t="n">
        <v>173</v>
      </c>
      <c r="H28" s="12" t="inlineStr">
        <is>
          <t>222 N. MARKET ST.</t>
        </is>
      </c>
      <c r="I28" s="12" t="inlineStr">
        <is>
          <t>INGLEWOOD</t>
        </is>
      </c>
      <c r="J28" s="12" t="inlineStr">
        <is>
          <t>CA</t>
        </is>
      </c>
      <c r="K28" s="12" t="inlineStr">
        <is>
          <t>90301</t>
        </is>
      </c>
      <c r="L28" s="12" t="inlineStr">
        <is>
          <t>Freestanding</t>
        </is>
      </c>
      <c r="M28" s="12" t="inlineStr">
        <is>
          <t>Cathey; Chris C.</t>
        </is>
      </c>
      <c r="N28" s="12" t="inlineStr">
        <is>
          <t>Rejected</t>
        </is>
      </c>
      <c r="O28" s="13" t="n"/>
      <c r="P28" s="13" t="n"/>
      <c r="Q28" s="13" t="n"/>
      <c r="R28" s="14" t="n">
        <v>46314</v>
      </c>
      <c r="S28" s="14">
        <f>R28+7</f>
        <v/>
      </c>
    </row>
    <row r="29" customFormat="1" s="11">
      <c r="A29" s="12" t="n">
        <v>9698</v>
      </c>
      <c r="B29" s="12" t="inlineStr">
        <is>
          <t>09698</t>
        </is>
      </c>
      <c r="C29" s="12" t="inlineStr">
        <is>
          <t>189824</t>
        </is>
      </c>
      <c r="D29" s="12" t="inlineStr">
        <is>
          <t>09</t>
        </is>
      </c>
      <c r="E29" s="12" t="inlineStr">
        <is>
          <t>88</t>
        </is>
      </c>
      <c r="F29" s="12" t="inlineStr">
        <is>
          <t>02</t>
        </is>
      </c>
      <c r="G29" s="12" t="n">
        <v>168</v>
      </c>
      <c r="H29" s="12" t="inlineStr">
        <is>
          <t>100 W. FOOTHILL BLVD.</t>
        </is>
      </c>
      <c r="I29" s="12" t="inlineStr">
        <is>
          <t>UPLAND</t>
        </is>
      </c>
      <c r="J29" s="12" t="inlineStr">
        <is>
          <t>CA</t>
        </is>
      </c>
      <c r="K29" s="12" t="inlineStr">
        <is>
          <t>91786</t>
        </is>
      </c>
      <c r="L29" s="12" t="inlineStr">
        <is>
          <t>Freestanding Pad</t>
        </is>
      </c>
      <c r="M29" s="12" t="inlineStr">
        <is>
          <t>Winkler; Jacob S</t>
        </is>
      </c>
      <c r="N29" s="12" t="inlineStr">
        <is>
          <t>Rejected</t>
        </is>
      </c>
      <c r="O29" s="12" t="n"/>
      <c r="P29" s="12" t="n"/>
      <c r="Q29" s="12" t="n"/>
      <c r="R29" s="14" t="n">
        <v>46300</v>
      </c>
      <c r="S29" s="14">
        <f>R29+7</f>
        <v/>
      </c>
    </row>
    <row r="30" customFormat="1" s="4">
      <c r="A30" s="12" t="n">
        <v>8895</v>
      </c>
      <c r="B30" s="12" t="inlineStr">
        <is>
          <t>08895</t>
        </is>
      </c>
      <c r="C30" s="12" t="inlineStr">
        <is>
          <t>189691</t>
        </is>
      </c>
      <c r="D30" s="12" t="inlineStr">
        <is>
          <t>09</t>
        </is>
      </c>
      <c r="E30" s="12" t="inlineStr">
        <is>
          <t>88</t>
        </is>
      </c>
      <c r="F30" s="12" t="inlineStr">
        <is>
          <t>02</t>
        </is>
      </c>
      <c r="G30" s="12" t="n">
        <v>170</v>
      </c>
      <c r="H30" s="12" t="inlineStr">
        <is>
          <t>775 E. FOOTHILL BOULEVARD</t>
        </is>
      </c>
      <c r="I30" s="12" t="inlineStr">
        <is>
          <t>POMONA</t>
        </is>
      </c>
      <c r="J30" s="12" t="inlineStr">
        <is>
          <t>CA</t>
        </is>
      </c>
      <c r="K30" s="12" t="inlineStr">
        <is>
          <t>91767</t>
        </is>
      </c>
      <c r="L30" s="12" t="inlineStr">
        <is>
          <t>Strip Shopping Center</t>
        </is>
      </c>
      <c r="M30" s="12" t="inlineStr">
        <is>
          <t>Winkler; Jacob S</t>
        </is>
      </c>
      <c r="N30" s="12" t="inlineStr">
        <is>
          <t>Rejected</t>
        </is>
      </c>
      <c r="O30" s="12" t="n"/>
      <c r="P30" s="12" t="n"/>
      <c r="Q30" s="12" t="n"/>
      <c r="R30" s="14" t="n">
        <v>46342</v>
      </c>
      <c r="S30" s="14">
        <f>R30+7</f>
        <v/>
      </c>
    </row>
    <row r="31" customFormat="1" s="1">
      <c r="A31" s="12" t="inlineStr">
        <is>
          <t>189064</t>
        </is>
      </c>
      <c r="B31" s="12" t="n">
        <v>1315</v>
      </c>
      <c r="C31" s="12" t="inlineStr">
        <is>
          <t>01315</t>
        </is>
      </c>
      <c r="D31" s="12" t="inlineStr">
        <is>
          <t>04</t>
        </is>
      </c>
      <c r="E31" s="12" t="inlineStr">
        <is>
          <t>14</t>
        </is>
      </c>
      <c r="F31" s="12" t="inlineStr">
        <is>
          <t>04</t>
        </is>
      </c>
      <c r="G31" s="12" t="n">
        <v>138</v>
      </c>
      <c r="H31" s="12" t="inlineStr">
        <is>
          <t>1101 SOUTHWEST END BLVD.</t>
        </is>
      </c>
      <c r="I31" s="12" t="inlineStr">
        <is>
          <t>QUAKERTOWN</t>
        </is>
      </c>
      <c r="J31" s="12" t="inlineStr">
        <is>
          <t>PA</t>
        </is>
      </c>
      <c r="K31" s="12" t="inlineStr">
        <is>
          <t>18951</t>
        </is>
      </c>
      <c r="L31" s="12" t="inlineStr">
        <is>
          <t>Freestanding</t>
        </is>
      </c>
      <c r="M31" s="12" t="inlineStr">
        <is>
          <t>Santalucia; Dawn</t>
        </is>
      </c>
      <c r="N31" s="12" t="inlineStr">
        <is>
          <t>Rejected</t>
        </is>
      </c>
      <c r="O31" s="12" t="n"/>
      <c r="P31" s="12" t="n"/>
      <c r="Q31" s="12" t="n"/>
      <c r="R31" s="14" t="n">
        <v>46321</v>
      </c>
      <c r="S31" s="14">
        <f>R31+7</f>
        <v/>
      </c>
      <c r="JJ31" s="4" t="n"/>
    </row>
    <row r="32" customFormat="1" s="1">
      <c r="A32" s="12" t="inlineStr">
        <is>
          <t>189566</t>
        </is>
      </c>
      <c r="B32" s="12" t="n">
        <v>8016</v>
      </c>
      <c r="C32" s="12" t="inlineStr">
        <is>
          <t>08016</t>
        </is>
      </c>
      <c r="D32" s="12" t="inlineStr">
        <is>
          <t>03</t>
        </is>
      </c>
      <c r="E32" s="12" t="inlineStr">
        <is>
          <t>57</t>
        </is>
      </c>
      <c r="F32" s="12" t="inlineStr">
        <is>
          <t>05</t>
        </is>
      </c>
      <c r="G32" s="12" t="n">
        <v>129</v>
      </c>
      <c r="H32" s="12" t="inlineStr">
        <is>
          <t>40925 GARFIELD ROAD</t>
        </is>
      </c>
      <c r="I32" s="12" t="inlineStr">
        <is>
          <t>CLINTON TOWNSHIP</t>
        </is>
      </c>
      <c r="J32" s="12" t="inlineStr">
        <is>
          <t>MI</t>
        </is>
      </c>
      <c r="K32" s="12" t="inlineStr">
        <is>
          <t>48038</t>
        </is>
      </c>
      <c r="L32" s="12" t="inlineStr">
        <is>
          <t>Freestanding</t>
        </is>
      </c>
      <c r="M32" s="12" t="inlineStr">
        <is>
          <t>Clark; Josh D.</t>
        </is>
      </c>
      <c r="N32" s="12" t="inlineStr">
        <is>
          <t>Rejected</t>
        </is>
      </c>
      <c r="O32" s="12" t="n"/>
      <c r="P32" s="12" t="n"/>
      <c r="Q32" s="12" t="n"/>
      <c r="R32" s="14" t="n">
        <v>46328</v>
      </c>
      <c r="S32" s="14">
        <f>R32+7</f>
        <v/>
      </c>
      <c r="JJ32" s="4" t="n"/>
    </row>
    <row r="33" customFormat="1" s="1">
      <c r="A33" s="12" t="inlineStr">
        <is>
          <t>189572</t>
        </is>
      </c>
      <c r="B33" s="12" t="n">
        <v>8089</v>
      </c>
      <c r="C33" s="12" t="inlineStr">
        <is>
          <t>08089</t>
        </is>
      </c>
      <c r="D33" s="12" t="inlineStr">
        <is>
          <t>03</t>
        </is>
      </c>
      <c r="E33" s="12" t="inlineStr">
        <is>
          <t>58</t>
        </is>
      </c>
      <c r="F33" s="12" t="inlineStr">
        <is>
          <t>02</t>
        </is>
      </c>
      <c r="G33" s="12" t="n">
        <v>130</v>
      </c>
      <c r="H33" s="12" t="inlineStr">
        <is>
          <t>935 S. MAIN ST.</t>
        </is>
      </c>
      <c r="I33" s="12" t="inlineStr">
        <is>
          <t>CHELSEA</t>
        </is>
      </c>
      <c r="J33" s="12" t="inlineStr">
        <is>
          <t>MI</t>
        </is>
      </c>
      <c r="K33" s="12" t="inlineStr">
        <is>
          <t>48118</t>
        </is>
      </c>
      <c r="L33" s="12" t="inlineStr">
        <is>
          <t>Freestanding</t>
        </is>
      </c>
      <c r="M33" s="12" t="inlineStr">
        <is>
          <t>Clark; Josh D.</t>
        </is>
      </c>
      <c r="N33" s="12" t="inlineStr">
        <is>
          <t>Rejected</t>
        </is>
      </c>
      <c r="O33" s="12" t="n"/>
      <c r="P33" s="12" t="n"/>
      <c r="Q33" s="12" t="n"/>
      <c r="R33" s="14" t="n">
        <v>46328</v>
      </c>
      <c r="S33" s="14">
        <f>R33+7</f>
        <v/>
      </c>
      <c r="JJ33" s="4" t="n"/>
    </row>
    <row r="34" customFormat="1" s="1">
      <c r="A34" s="12" t="inlineStr">
        <is>
          <t>189073</t>
        </is>
      </c>
      <c r="B34" s="12" t="n">
        <v>1411</v>
      </c>
      <c r="C34" s="12" t="inlineStr">
        <is>
          <t>01411</t>
        </is>
      </c>
      <c r="D34" s="12" t="inlineStr">
        <is>
          <t>04</t>
        </is>
      </c>
      <c r="E34" s="12" t="inlineStr">
        <is>
          <t>19</t>
        </is>
      </c>
      <c r="F34" s="12" t="inlineStr">
        <is>
          <t>02</t>
        </is>
      </c>
      <c r="G34" s="12" t="n">
        <v>140</v>
      </c>
      <c r="H34" s="12" t="inlineStr">
        <is>
          <t>8124 ARLINGTON BLVD, YORKTOWN CTR</t>
        </is>
      </c>
      <c r="I34" s="12" t="inlineStr">
        <is>
          <t>FALLS CHURCH</t>
        </is>
      </c>
      <c r="J34" s="12" t="inlineStr">
        <is>
          <t>VA</t>
        </is>
      </c>
      <c r="K34" s="12" t="inlineStr">
        <is>
          <t>22042</t>
        </is>
      </c>
      <c r="L34" s="12" t="inlineStr">
        <is>
          <t>Strip Shopping Center</t>
        </is>
      </c>
      <c r="M34" s="12" t="inlineStr">
        <is>
          <t>Meath; Lori A.</t>
        </is>
      </c>
      <c r="N34" s="12" t="inlineStr">
        <is>
          <t>Rejected</t>
        </is>
      </c>
      <c r="O34" s="12" t="n"/>
      <c r="P34" s="12" t="n"/>
      <c r="Q34" s="12" t="n"/>
      <c r="R34" s="14" t="n">
        <v>46328</v>
      </c>
      <c r="S34" s="14">
        <f>R34+7</f>
        <v/>
      </c>
      <c r="JJ34" s="6" t="n"/>
    </row>
    <row r="35" customFormat="1" s="1">
      <c r="A35" s="12" t="inlineStr">
        <is>
          <t>189198</t>
        </is>
      </c>
      <c r="B35" s="12" t="n">
        <v>3154</v>
      </c>
      <c r="C35" s="12" t="inlineStr">
        <is>
          <t>03154</t>
        </is>
      </c>
      <c r="D35" s="12" t="inlineStr">
        <is>
          <t>01</t>
        </is>
      </c>
      <c r="E35" s="12" t="inlineStr">
        <is>
          <t>05</t>
        </is>
      </c>
      <c r="F35" s="12" t="inlineStr">
        <is>
          <t>01</t>
        </is>
      </c>
      <c r="G35" s="12" t="n">
        <v>110</v>
      </c>
      <c r="H35" s="12" t="inlineStr">
        <is>
          <t>59 MAIN STREET</t>
        </is>
      </c>
      <c r="I35" s="12" t="inlineStr">
        <is>
          <t>WARWICK</t>
        </is>
      </c>
      <c r="J35" s="12" t="inlineStr">
        <is>
          <t>NY</t>
        </is>
      </c>
      <c r="K35" s="12" t="inlineStr">
        <is>
          <t>10990</t>
        </is>
      </c>
      <c r="L35" s="12" t="inlineStr">
        <is>
          <t>Freestanding</t>
        </is>
      </c>
      <c r="M35" s="12" t="inlineStr">
        <is>
          <t>Messer; Laura R</t>
        </is>
      </c>
      <c r="N35" s="12" t="inlineStr">
        <is>
          <t>Rejected</t>
        </is>
      </c>
      <c r="O35" s="12" t="n"/>
      <c r="P35" s="12" t="n"/>
      <c r="Q35" s="12" t="n"/>
      <c r="R35" s="14" t="n">
        <v>46335</v>
      </c>
      <c r="S35" s="14">
        <f>R35+7</f>
        <v/>
      </c>
    </row>
    <row r="36" customFormat="1" s="1">
      <c r="A36" s="12" t="inlineStr">
        <is>
          <t>189041</t>
        </is>
      </c>
      <c r="B36" s="12" t="n">
        <v>1414</v>
      </c>
      <c r="C36" s="12" t="inlineStr">
        <is>
          <t>01414</t>
        </is>
      </c>
      <c r="D36" s="12" t="inlineStr">
        <is>
          <t>01</t>
        </is>
      </c>
      <c r="E36" s="12" t="inlineStr">
        <is>
          <t>07</t>
        </is>
      </c>
      <c r="F36" s="12" t="inlineStr">
        <is>
          <t>01</t>
        </is>
      </c>
      <c r="G36" s="12" t="n">
        <v>112</v>
      </c>
      <c r="H36" s="12" t="inlineStr">
        <is>
          <t>1195 OAKLAWN AVENUE</t>
        </is>
      </c>
      <c r="I36" s="12" t="inlineStr">
        <is>
          <t>CRANSTON</t>
        </is>
      </c>
      <c r="J36" s="12" t="inlineStr">
        <is>
          <t>RI</t>
        </is>
      </c>
      <c r="K36" s="12" t="inlineStr">
        <is>
          <t>02920</t>
        </is>
      </c>
      <c r="L36" s="12" t="inlineStr">
        <is>
          <t>Freestanding Pad</t>
        </is>
      </c>
      <c r="M36" s="12" t="inlineStr">
        <is>
          <t>Messer; Laura R</t>
        </is>
      </c>
      <c r="N36" s="12" t="inlineStr">
        <is>
          <t>Rejected</t>
        </is>
      </c>
      <c r="O36" s="12" t="n"/>
      <c r="P36" s="12" t="n"/>
      <c r="Q36" s="12" t="n"/>
      <c r="R36" s="14" t="n">
        <v>46335</v>
      </c>
      <c r="S36" s="14">
        <f>R36+7</f>
        <v/>
      </c>
      <c r="JJ36" s="4" t="n"/>
    </row>
    <row r="37" customFormat="1" s="1">
      <c r="A37" s="12" t="inlineStr">
        <is>
          <t>189573</t>
        </is>
      </c>
      <c r="B37" s="12" t="n">
        <v>8216</v>
      </c>
      <c r="C37" s="12" t="inlineStr">
        <is>
          <t>08216</t>
        </is>
      </c>
      <c r="D37" s="12" t="inlineStr">
        <is>
          <t>03</t>
        </is>
      </c>
      <c r="E37" s="12" t="inlineStr">
        <is>
          <t>58</t>
        </is>
      </c>
      <c r="F37" s="12" t="inlineStr">
        <is>
          <t>02</t>
        </is>
      </c>
      <c r="G37" s="12" t="n">
        <v>130</v>
      </c>
      <c r="H37" s="12" t="inlineStr">
        <is>
          <t>1700 SOUTH INDUSTRIAL HIGHWAY</t>
        </is>
      </c>
      <c r="I37" s="12" t="inlineStr">
        <is>
          <t>ANN ARBOR</t>
        </is>
      </c>
      <c r="J37" s="12" t="inlineStr">
        <is>
          <t>MI</t>
        </is>
      </c>
      <c r="K37" s="12" t="inlineStr">
        <is>
          <t>48104</t>
        </is>
      </c>
      <c r="L37" s="12" t="inlineStr">
        <is>
          <t>Freestanding</t>
        </is>
      </c>
      <c r="M37" s="12" t="inlineStr">
        <is>
          <t>Clark; Josh D.</t>
        </is>
      </c>
      <c r="N37" s="12" t="inlineStr">
        <is>
          <t>Rejected</t>
        </is>
      </c>
      <c r="O37" s="12" t="n"/>
      <c r="P37" s="12" t="n"/>
      <c r="Q37" s="12" t="n"/>
      <c r="R37" s="14" t="n">
        <v>46335</v>
      </c>
      <c r="S37" s="14">
        <f>R37+7</f>
        <v/>
      </c>
    </row>
    <row r="38">
      <c r="A38" s="12" t="inlineStr">
        <is>
          <t>189268</t>
        </is>
      </c>
      <c r="B38" s="12" t="n">
        <v>3218</v>
      </c>
      <c r="C38" s="12" t="inlineStr">
        <is>
          <t>03218</t>
        </is>
      </c>
      <c r="D38" s="12" t="inlineStr">
        <is>
          <t>05</t>
        </is>
      </c>
      <c r="E38" s="12" t="inlineStr">
        <is>
          <t>41</t>
        </is>
      </c>
      <c r="F38" s="12" t="inlineStr">
        <is>
          <t>01</t>
        </is>
      </c>
      <c r="G38" s="12" t="n">
        <v>142</v>
      </c>
      <c r="H38" s="12" t="inlineStr">
        <is>
          <t>10200 SEMINOLE BLVD</t>
        </is>
      </c>
      <c r="I38" s="12" t="inlineStr">
        <is>
          <t>SEMINOLE</t>
        </is>
      </c>
      <c r="J38" s="12" t="inlineStr">
        <is>
          <t>FL</t>
        </is>
      </c>
      <c r="K38" s="12" t="inlineStr">
        <is>
          <t>33778</t>
        </is>
      </c>
      <c r="L38" s="12" t="inlineStr">
        <is>
          <t>Freestanding</t>
        </is>
      </c>
      <c r="M38" s="12" t="inlineStr">
        <is>
          <t>townsend; kevin</t>
        </is>
      </c>
      <c r="N38" s="12" t="inlineStr">
        <is>
          <t>Rejected</t>
        </is>
      </c>
      <c r="O38" s="12" t="n"/>
      <c r="P38" s="12" t="n"/>
      <c r="Q38" s="12" t="n"/>
      <c r="R38" s="14" t="n">
        <v>46335</v>
      </c>
      <c r="S38" s="14">
        <f>R38+7</f>
        <v/>
      </c>
    </row>
    <row r="39">
      <c r="A39" s="12" t="inlineStr">
        <is>
          <t>189625</t>
        </is>
      </c>
      <c r="B39" s="12" t="n">
        <v>8420</v>
      </c>
      <c r="C39" s="12" t="inlineStr">
        <is>
          <t>08420</t>
        </is>
      </c>
      <c r="D39" s="12" t="inlineStr">
        <is>
          <t>08</t>
        </is>
      </c>
      <c r="E39" s="12" t="inlineStr">
        <is>
          <t>30</t>
        </is>
      </c>
      <c r="F39" s="12" t="inlineStr">
        <is>
          <t>04</t>
        </is>
      </c>
      <c r="G39" s="12" t="n">
        <v>151</v>
      </c>
      <c r="H39" s="12" t="inlineStr">
        <is>
          <t>7740 N CORTARO RD</t>
        </is>
      </c>
      <c r="I39" s="12" t="inlineStr">
        <is>
          <t>TUCSON</t>
        </is>
      </c>
      <c r="J39" s="12" t="inlineStr">
        <is>
          <t>AZ</t>
        </is>
      </c>
      <c r="K39" s="12" t="inlineStr">
        <is>
          <t>85743</t>
        </is>
      </c>
      <c r="L39" s="12" t="inlineStr">
        <is>
          <t>Freestanding</t>
        </is>
      </c>
      <c r="M39" s="12" t="inlineStr">
        <is>
          <t>Sotelo; Rolly</t>
        </is>
      </c>
      <c r="N39" s="12" t="inlineStr">
        <is>
          <t>Rejected</t>
        </is>
      </c>
      <c r="O39" s="12" t="n"/>
      <c r="P39" s="12" t="n"/>
      <c r="Q39" s="12" t="n"/>
      <c r="R39" s="14" t="n">
        <v>46335</v>
      </c>
      <c r="S39" s="14">
        <f>R39+7</f>
        <v/>
      </c>
    </row>
    <row r="40">
      <c r="A40" s="12" t="inlineStr">
        <is>
          <t>189406</t>
        </is>
      </c>
      <c r="B40" s="12" t="n">
        <v>5741</v>
      </c>
      <c r="C40" s="12" t="inlineStr">
        <is>
          <t>05741</t>
        </is>
      </c>
      <c r="D40" s="12" t="inlineStr">
        <is>
          <t>03</t>
        </is>
      </c>
      <c r="E40" s="12" t="inlineStr">
        <is>
          <t>58</t>
        </is>
      </c>
      <c r="F40" s="12" t="inlineStr">
        <is>
          <t>01</t>
        </is>
      </c>
      <c r="G40" s="12" t="n">
        <v>129</v>
      </c>
      <c r="H40" s="12" t="inlineStr">
        <is>
          <t>7488 VILLAGE CENTER DR.</t>
        </is>
      </c>
      <c r="I40" s="12" t="inlineStr">
        <is>
          <t>WHITMORE LAKE</t>
        </is>
      </c>
      <c r="J40" s="12" t="inlineStr">
        <is>
          <t>MI</t>
        </is>
      </c>
      <c r="K40" s="12" t="inlineStr">
        <is>
          <t>48189</t>
        </is>
      </c>
      <c r="L40" s="12" t="inlineStr">
        <is>
          <t>Freestanding Pad</t>
        </is>
      </c>
      <c r="M40" s="12" t="inlineStr">
        <is>
          <t>Clark; Josh D.</t>
        </is>
      </c>
      <c r="N40" s="12" t="inlineStr">
        <is>
          <t>Rejected</t>
        </is>
      </c>
      <c r="O40" s="12" t="n"/>
      <c r="P40" s="12" t="n"/>
      <c r="Q40" s="12" t="n"/>
      <c r="R40" s="14" t="n">
        <v>46356</v>
      </c>
      <c r="S40" s="14">
        <f>R40+7</f>
        <v/>
      </c>
    </row>
    <row r="41">
      <c r="A41" s="12" t="inlineStr">
        <is>
          <t>188962</t>
        </is>
      </c>
      <c r="B41" s="12" t="n">
        <v>660</v>
      </c>
      <c r="C41" s="12" t="inlineStr">
        <is>
          <t>00660</t>
        </is>
      </c>
      <c r="D41" s="12" t="inlineStr">
        <is>
          <t>04</t>
        </is>
      </c>
      <c r="E41" s="12" t="inlineStr">
        <is>
          <t>13</t>
        </is>
      </c>
      <c r="F41" s="12" t="inlineStr">
        <is>
          <t>01</t>
        </is>
      </c>
      <c r="G41" s="12" t="n">
        <v>135</v>
      </c>
      <c r="H41" s="12" t="inlineStr">
        <is>
          <t>9875 BUSTLETON AVENUE</t>
        </is>
      </c>
      <c r="I41" s="12" t="inlineStr">
        <is>
          <t>PHILADELPHIA</t>
        </is>
      </c>
      <c r="J41" s="12" t="inlineStr">
        <is>
          <t>PA</t>
        </is>
      </c>
      <c r="K41" s="12" t="inlineStr">
        <is>
          <t>19115</t>
        </is>
      </c>
      <c r="L41" s="12" t="inlineStr">
        <is>
          <t>Freestanding Pad</t>
        </is>
      </c>
      <c r="M41" s="12" t="inlineStr">
        <is>
          <t>Santalucia; Dawn</t>
        </is>
      </c>
      <c r="N41" s="12" t="inlineStr">
        <is>
          <t>Rejected</t>
        </is>
      </c>
      <c r="O41" s="12" t="n"/>
      <c r="P41" s="12" t="n"/>
      <c r="Q41" s="12" t="n"/>
      <c r="R41" s="14" t="n">
        <v>46321</v>
      </c>
      <c r="S41" s="14">
        <f>R41+7</f>
        <v/>
      </c>
      <c r="T41" s="13" t="n"/>
    </row>
    <row r="42" customFormat="1" s="1">
      <c r="A42" s="19" t="inlineStr">
        <is>
          <t>189840</t>
        </is>
      </c>
      <c r="B42" s="19" t="n">
        <v>9784</v>
      </c>
      <c r="C42" s="19" t="inlineStr">
        <is>
          <t>09784</t>
        </is>
      </c>
      <c r="D42" s="19" t="inlineStr">
        <is>
          <t>09</t>
        </is>
      </c>
      <c r="E42" s="19" t="inlineStr">
        <is>
          <t>90</t>
        </is>
      </c>
      <c r="F42" s="19" t="inlineStr">
        <is>
          <t>02</t>
        </is>
      </c>
      <c r="G42" s="19" t="n">
        <v>172</v>
      </c>
      <c r="H42" s="19" t="inlineStr">
        <is>
          <t>1030 COLORADO BLVD.</t>
        </is>
      </c>
      <c r="I42" s="19" t="inlineStr">
        <is>
          <t>EAGLE ROCK</t>
        </is>
      </c>
      <c r="J42" s="19" t="inlineStr">
        <is>
          <t>CA</t>
        </is>
      </c>
      <c r="K42" s="19" t="inlineStr">
        <is>
          <t>90041</t>
        </is>
      </c>
      <c r="L42" s="19" t="inlineStr">
        <is>
          <t>Freestanding</t>
        </is>
      </c>
      <c r="M42" s="19" t="inlineStr">
        <is>
          <t>Cathey; Chris C.</t>
        </is>
      </c>
      <c r="N42" s="19" t="inlineStr">
        <is>
          <t>Approved</t>
        </is>
      </c>
      <c r="O42" s="19" t="inlineStr">
        <is>
          <t>MV</t>
        </is>
      </c>
      <c r="P42" s="19" t="n">
        <v>60</v>
      </c>
      <c r="Q42" s="19" t="n">
        <v>2</v>
      </c>
      <c r="R42" s="20" t="n">
        <v>46314</v>
      </c>
      <c r="S42" s="20">
        <f>R42+7</f>
        <v/>
      </c>
      <c r="T42" s="13" t="n"/>
      <c r="JJ42" s="4" t="n"/>
    </row>
  </sheetData>
  <autoFilter ref="A1:JK3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8" customWidth="1" style="26" min="1" max="1"/>
    <col width="14" customWidth="1" style="26" min="2" max="2"/>
    <col width="90" customWidth="1" style="26" min="3" max="3"/>
  </cols>
  <sheetData>
    <row r="1">
      <c r="A1" s="27" t="inlineStr">
        <is>
          <t>Logistics Plan - Assumptions (edit yellow cells; plan recalculates)</t>
        </is>
      </c>
    </row>
    <row r="3">
      <c r="A3" s="28" t="inlineStr">
        <is>
          <t>Global inputs</t>
        </is>
      </c>
    </row>
    <row r="4">
      <c r="A4" t="inlineStr">
        <is>
          <t>Default units per store when config is blank/TBD</t>
        </is>
      </c>
      <c r="B4" s="29" t="n">
        <v>3</v>
      </c>
      <c r="C4" t="inlineStr">
        <is>
          <t>Most common configuration among the 35 validated stores (29 are 3-unit)</t>
        </is>
      </c>
    </row>
    <row r="5">
      <c r="A5" t="inlineStr">
        <is>
          <t>Delivery buffer before MSD (business days)</t>
        </is>
      </c>
      <c r="B5" s="29" t="n">
        <v>3</v>
      </c>
      <c r="C5" t="inlineStr">
        <is>
          <t>Units on site, checked and staged before install starts. ASSUMPTION - confirm with vendor/CVS</t>
        </is>
      </c>
    </row>
    <row r="6">
      <c r="A6" t="inlineStr">
        <is>
          <t>Install days per store (crew-days)</t>
        </is>
      </c>
      <c r="B6" s="29" t="n">
        <v>1</v>
      </c>
      <c r="C6" t="inlineStr">
        <is>
          <t>ASSUMPTION - confirm actual install duration per unit config</t>
        </is>
      </c>
    </row>
    <row r="9">
      <c r="A9" s="28" t="inlineStr">
        <is>
          <t>Transit time from vendor/staging point to region (business days)</t>
        </is>
      </c>
    </row>
    <row r="10">
      <c r="A10" s="30" t="inlineStr">
        <is>
          <t>Region</t>
        </is>
      </c>
      <c r="B10" s="30" t="inlineStr">
        <is>
          <t>Transit days</t>
        </is>
      </c>
      <c r="C10" s="30" t="inlineStr">
        <is>
          <t>Note</t>
        </is>
      </c>
    </row>
    <row r="11">
      <c r="A11" t="inlineStr">
        <is>
          <t>DFW</t>
        </is>
      </c>
      <c r="B11" s="29" t="n">
        <v>2</v>
      </c>
      <c r="C11" t="inlineStr">
        <is>
          <t>PLACEHOLDER - update once ship-from point is known</t>
        </is>
      </c>
    </row>
    <row r="12">
      <c r="A12" t="inlineStr">
        <is>
          <t>Houston</t>
        </is>
      </c>
      <c r="B12" s="29" t="n">
        <v>2</v>
      </c>
      <c r="C12" t="inlineStr">
        <is>
          <t>PLACEHOLDER</t>
        </is>
      </c>
    </row>
    <row r="13">
      <c r="A13" t="inlineStr">
        <is>
          <t>Austin / Central</t>
        </is>
      </c>
      <c r="B13" s="29" t="n">
        <v>2</v>
      </c>
      <c r="C13" t="inlineStr">
        <is>
          <t>PLACEHOLDER</t>
        </is>
      </c>
    </row>
    <row r="14">
      <c r="A14" t="inlineStr">
        <is>
          <t>San Antonio</t>
        </is>
      </c>
      <c r="B14" s="29" t="n">
        <v>2</v>
      </c>
      <c r="C14" t="inlineStr">
        <is>
          <t>PLACEHOLDER</t>
        </is>
      </c>
    </row>
    <row r="15">
      <c r="A15" t="inlineStr">
        <is>
          <t>South TX</t>
        </is>
      </c>
      <c r="B15" s="29" t="n">
        <v>3</v>
      </c>
      <c r="C15" t="inlineStr">
        <is>
          <t>PLACEHOLDER - RGV / Corpus are long hauls</t>
        </is>
      </c>
    </row>
    <row r="16">
      <c r="A16" t="inlineStr">
        <is>
          <t>Outlier</t>
        </is>
      </c>
      <c r="B16" s="29" t="n">
        <v>4</v>
      </c>
      <c r="C16" t="inlineStr">
        <is>
          <t>PLACEHOLDER - Amarillo and New Orleans are out of the way</t>
        </is>
      </c>
    </row>
    <row r="18">
      <c r="A18" s="28" t="inlineStr">
        <is>
          <t>Definitions used</t>
        </is>
      </c>
    </row>
    <row r="19">
      <c r="A19" t="inlineStr">
        <is>
          <t>MSD = date install window opens per the store list. CSD = MSD + 7 days (existing formula in the list).</t>
        </is>
      </c>
    </row>
    <row r="20">
      <c r="A20" t="inlineStr">
        <is>
          <t>Deliver-by = MSD less the delivery buffer (business days). Ship-by = Deliver-by less regional transit days.</t>
        </is>
      </c>
    </row>
    <row r="21">
      <c r="A21" t="inlineStr">
        <is>
          <t>Units come from the Unit Configuration column; stores not yet validated have none, so the default above is used and flagged TBD.</t>
        </is>
      </c>
    </row>
    <row r="22">
      <c r="A22" t="inlineStr">
        <is>
          <t>Regions are grouped by metro so one crew/truck run covers a cluster. Killeen is grouped with Austin / Central.</t>
        </is>
      </c>
    </row>
    <row r="23">
      <c r="A23" t="inlineStr">
        <is>
          <t>Plan tab pulls MSD, labor and status live from Current List by CS#.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26" min="1" max="1"/>
    <col width="9" customWidth="1" style="26" min="2" max="2"/>
    <col width="8" customWidth="1" style="26" min="3" max="3"/>
    <col width="16" customWidth="1" style="26" min="4" max="4"/>
    <col width="6" customWidth="1" style="26" min="5" max="5"/>
    <col width="7" customWidth="1" style="26" min="6" max="6"/>
    <col width="20" customWidth="1" style="26" min="7" max="7"/>
    <col width="15" customWidth="1" style="26" min="8" max="8"/>
    <col width="16" customWidth="1" style="26" min="9" max="9"/>
    <col width="17" customWidth="1" style="26" min="10" max="10"/>
    <col width="15" customWidth="1" style="26" min="11" max="11"/>
    <col width="7" customWidth="1" style="26" min="12" max="12"/>
    <col width="11" customWidth="1" style="26" min="13" max="13"/>
    <col width="13" customWidth="1" style="26" min="14" max="14"/>
    <col width="13" customWidth="1" style="26" min="15" max="15"/>
    <col width="13" customWidth="1" style="26" min="16" max="16"/>
    <col width="15" customWidth="1" style="26" min="17" max="17"/>
    <col width="13" customWidth="1" style="26" min="18" max="18"/>
    <col width="44" customWidth="1" style="26" min="19" max="19"/>
  </cols>
  <sheetData>
    <row r="1">
      <c r="A1" s="27" t="inlineStr">
        <is>
          <t>Core CMCI - Consultation Room Logistics Plan</t>
        </is>
      </c>
    </row>
    <row r="2">
      <c r="A2" t="inlineStr">
        <is>
          <t>Sorted by region, then MSD. Dates and units are formulas driven by the Assumptions tab and Current List.</t>
        </is>
      </c>
    </row>
    <row r="4" ht="32" customHeight="1" s="26">
      <c r="A4" s="30" t="inlineStr">
        <is>
          <t>Region</t>
        </is>
      </c>
      <c r="B4" s="30" t="inlineStr">
        <is>
          <t>CS#</t>
        </is>
      </c>
      <c r="C4" s="30" t="inlineStr">
        <is>
          <t>Store #</t>
        </is>
      </c>
      <c r="D4" s="30" t="inlineStr">
        <is>
          <t>City</t>
        </is>
      </c>
      <c r="E4" s="30" t="inlineStr">
        <is>
          <t>State</t>
        </is>
      </c>
      <c r="F4" s="30" t="inlineStr">
        <is>
          <t>Zip</t>
        </is>
      </c>
      <c r="G4" s="30" t="inlineStr">
        <is>
          <t>Store Type</t>
        </is>
      </c>
      <c r="H4" s="30" t="inlineStr">
        <is>
          <t>Labor (MV / Store)</t>
        </is>
      </c>
      <c r="I4" s="30" t="inlineStr">
        <is>
          <t>MV Vendor</t>
        </is>
      </c>
      <c r="J4" s="30" t="inlineStr">
        <is>
          <t>Layout Status</t>
        </is>
      </c>
      <c r="K4" s="30" t="inlineStr">
        <is>
          <t>Config (raw)</t>
        </is>
      </c>
      <c r="L4" s="30" t="inlineStr">
        <is>
          <t>Units</t>
        </is>
      </c>
      <c r="M4" s="30" t="inlineStr">
        <is>
          <t>Config</t>
        </is>
      </c>
      <c r="N4" s="30" t="inlineStr">
        <is>
          <t>MSD</t>
        </is>
      </c>
      <c r="O4" s="30" t="inlineStr">
        <is>
          <t>Deliver-by</t>
        </is>
      </c>
      <c r="P4" s="30" t="inlineStr">
        <is>
          <t>Ship-by</t>
        </is>
      </c>
      <c r="Q4" s="30" t="inlineStr">
        <is>
          <t>Ship week of (Mon)</t>
        </is>
      </c>
      <c r="R4" s="30" t="inlineStr">
        <is>
          <t>CSD</t>
        </is>
      </c>
      <c r="S4" s="30" t="inlineStr">
        <is>
          <t>Flags</t>
        </is>
      </c>
    </row>
    <row r="5">
      <c r="A5" s="31" t="inlineStr">
        <is>
          <t>DFW</t>
        </is>
      </c>
      <c r="B5" s="31" t="inlineStr">
        <is>
          <t>190032</t>
        </is>
      </c>
      <c r="C5" s="31" t="n">
        <v>10880</v>
      </c>
      <c r="D5" s="31" t="inlineStr">
        <is>
          <t>Irving</t>
        </is>
      </c>
      <c r="E5" s="31" t="inlineStr">
        <is>
          <t>TX</t>
        </is>
      </c>
      <c r="F5" s="31" t="inlineStr">
        <is>
          <t>75063</t>
        </is>
      </c>
      <c r="G5" s="31">
        <f>INDEX('Current List'!$L:$L,MATCH($B5,'Current List'!$A:$A,0))</f>
        <v/>
      </c>
      <c r="H5" s="31">
        <f>IF(INDEX('Current List'!$O:$O,MATCH($B5,'Current List'!$A:$A,0))=0,"TBD",INDEX('Current List'!$O:$O,MATCH($B5,'Current List'!$A:$A,0)))</f>
        <v/>
      </c>
      <c r="I5" s="31">
        <f>IF(OR(INDEX('Current List'!$R:$R,MATCH($B5,'Current List'!$A:$A,0))=0,INDEX('Current List'!$R:$R,MATCH($B5,'Current List'!$A:$A,0))="N/A"),"-",INDEX('Current List'!$R:$R,MATCH($B5,'Current List'!$A:$A,0)))</f>
        <v/>
      </c>
      <c r="J5" s="31">
        <f>INDEX('Current List'!$N:$N,MATCH($B5,'Current List'!$A:$A,0))</f>
        <v/>
      </c>
      <c r="K5" s="31">
        <f>IF(INDEX('Current List'!$S:$S,MATCH($B5,'Current List'!$A:$A,0))=0,"",INDEX('Current List'!$S:$S,MATCH($B5,'Current List'!$A:$A,0)))</f>
        <v/>
      </c>
      <c r="L5" s="31">
        <f>IFERROR(IF(ISNUMBER(K5),K5,VALUE(LEFT(K5,1))),Assumptions!$B$4)</f>
        <v/>
      </c>
      <c r="M5" s="31">
        <f>IF(K5="","TBD","Confirmed")</f>
        <v/>
      </c>
      <c r="N5" s="32">
        <f>INDEX('Current List'!$T:$T,MATCH($B5,'Current List'!$A:$A,0))</f>
        <v/>
      </c>
      <c r="O5" s="32">
        <f>WORKDAY(N5,-Assumptions!$B$5)</f>
        <v/>
      </c>
      <c r="P5" s="32">
        <f>WORKDAY(O5,-VLOOKUP(A5,Assumptions!$A$11:$B$16,2,FALSE))</f>
        <v/>
      </c>
      <c r="Q5" s="32">
        <f>P5-WEEKDAY(P5,3)</f>
        <v/>
      </c>
      <c r="R5" s="32">
        <f>INDEX('Current List'!$U:$U,MATCH($B5,'Current List'!$A:$A,0))</f>
        <v/>
      </c>
      <c r="S5" s="31">
        <f>TRIM(IF(J5&lt;&gt;"Approved","Layout not validated; ","")&amp;IF(M5="TBD","Config TBD (default units); ","")&amp;IF(H5="TBD","Labor TBD; ","")&amp;IF(A5="Outlier","Remote / out of route; ","")&amp;IF(A5="South TX","Long haul; ",""))</f>
        <v/>
      </c>
    </row>
    <row r="6">
      <c r="A6" s="31" t="inlineStr">
        <is>
          <t>DFW</t>
        </is>
      </c>
      <c r="B6" s="31" t="inlineStr">
        <is>
          <t>190033</t>
        </is>
      </c>
      <c r="C6" s="31" t="n">
        <v>10642</v>
      </c>
      <c r="D6" s="31" t="inlineStr">
        <is>
          <t>Corinth</t>
        </is>
      </c>
      <c r="E6" s="31" t="inlineStr">
        <is>
          <t>TX</t>
        </is>
      </c>
      <c r="F6" s="31" t="inlineStr">
        <is>
          <t>76210</t>
        </is>
      </c>
      <c r="G6" s="31">
        <f>INDEX('Current List'!$L:$L,MATCH($B6,'Current List'!$A:$A,0))</f>
        <v/>
      </c>
      <c r="H6" s="31">
        <f>IF(INDEX('Current List'!$O:$O,MATCH($B6,'Current List'!$A:$A,0))=0,"TBD",INDEX('Current List'!$O:$O,MATCH($B6,'Current List'!$A:$A,0)))</f>
        <v/>
      </c>
      <c r="I6" s="31">
        <f>IF(OR(INDEX('Current List'!$R:$R,MATCH($B6,'Current List'!$A:$A,0))=0,INDEX('Current List'!$R:$R,MATCH($B6,'Current List'!$A:$A,0))="N/A"),"-",INDEX('Current List'!$R:$R,MATCH($B6,'Current List'!$A:$A,0)))</f>
        <v/>
      </c>
      <c r="J6" s="31">
        <f>INDEX('Current List'!$N:$N,MATCH($B6,'Current List'!$A:$A,0))</f>
        <v/>
      </c>
      <c r="K6" s="31">
        <f>IF(INDEX('Current List'!$S:$S,MATCH($B6,'Current List'!$A:$A,0))=0,"",INDEX('Current List'!$S:$S,MATCH($B6,'Current List'!$A:$A,0)))</f>
        <v/>
      </c>
      <c r="L6" s="31">
        <f>IFERROR(IF(ISNUMBER(K6),K6,VALUE(LEFT(K6,1))),Assumptions!$B$4)</f>
        <v/>
      </c>
      <c r="M6" s="31">
        <f>IF(K6="","TBD","Confirmed")</f>
        <v/>
      </c>
      <c r="N6" s="32">
        <f>INDEX('Current List'!$T:$T,MATCH($B6,'Current List'!$A:$A,0))</f>
        <v/>
      </c>
      <c r="O6" s="32">
        <f>WORKDAY(N6,-Assumptions!$B$5)</f>
        <v/>
      </c>
      <c r="P6" s="32">
        <f>WORKDAY(O6,-VLOOKUP(A6,Assumptions!$A$11:$B$16,2,FALSE))</f>
        <v/>
      </c>
      <c r="Q6" s="32">
        <f>P6-WEEKDAY(P6,3)</f>
        <v/>
      </c>
      <c r="R6" s="32">
        <f>INDEX('Current List'!$U:$U,MATCH($B6,'Current List'!$A:$A,0))</f>
        <v/>
      </c>
      <c r="S6" s="31">
        <f>TRIM(IF(J6&lt;&gt;"Approved","Layout not validated; ","")&amp;IF(M6="TBD","Config TBD (default units); ","")&amp;IF(H6="TBD","Labor TBD; ","")&amp;IF(A6="Outlier","Remote / out of route; ","")&amp;IF(A6="South TX","Long haul; ",""))</f>
        <v/>
      </c>
    </row>
    <row r="7">
      <c r="A7" s="31" t="inlineStr">
        <is>
          <t>DFW</t>
        </is>
      </c>
      <c r="B7" s="31" t="inlineStr">
        <is>
          <t>189985</t>
        </is>
      </c>
      <c r="C7" s="31" t="n">
        <v>10324</v>
      </c>
      <c r="D7" s="31" t="inlineStr">
        <is>
          <t>Dallas</t>
        </is>
      </c>
      <c r="E7" s="31" t="inlineStr">
        <is>
          <t>TX</t>
        </is>
      </c>
      <c r="F7" s="31" t="inlineStr">
        <is>
          <t>75214</t>
        </is>
      </c>
      <c r="G7" s="31">
        <f>INDEX('Current List'!$L:$L,MATCH($B7,'Current List'!$A:$A,0))</f>
        <v/>
      </c>
      <c r="H7" s="31">
        <f>IF(INDEX('Current List'!$O:$O,MATCH($B7,'Current List'!$A:$A,0))=0,"TBD",INDEX('Current List'!$O:$O,MATCH($B7,'Current List'!$A:$A,0)))</f>
        <v/>
      </c>
      <c r="I7" s="31">
        <f>IF(OR(INDEX('Current List'!$R:$R,MATCH($B7,'Current List'!$A:$A,0))=0,INDEX('Current List'!$R:$R,MATCH($B7,'Current List'!$A:$A,0))="N/A"),"-",INDEX('Current List'!$R:$R,MATCH($B7,'Current List'!$A:$A,0)))</f>
        <v/>
      </c>
      <c r="J7" s="31">
        <f>INDEX('Current List'!$N:$N,MATCH($B7,'Current List'!$A:$A,0))</f>
        <v/>
      </c>
      <c r="K7" s="31">
        <f>IF(INDEX('Current List'!$S:$S,MATCH($B7,'Current List'!$A:$A,0))=0,"",INDEX('Current List'!$S:$S,MATCH($B7,'Current List'!$A:$A,0)))</f>
        <v/>
      </c>
      <c r="L7" s="31">
        <f>IFERROR(IF(ISNUMBER(K7),K7,VALUE(LEFT(K7,1))),Assumptions!$B$4)</f>
        <v/>
      </c>
      <c r="M7" s="31">
        <f>IF(K7="","TBD","Confirmed")</f>
        <v/>
      </c>
      <c r="N7" s="32">
        <f>INDEX('Current List'!$T:$T,MATCH($B7,'Current List'!$A:$A,0))</f>
        <v/>
      </c>
      <c r="O7" s="32">
        <f>WORKDAY(N7,-Assumptions!$B$5)</f>
        <v/>
      </c>
      <c r="P7" s="32">
        <f>WORKDAY(O7,-VLOOKUP(A7,Assumptions!$A$11:$B$16,2,FALSE))</f>
        <v/>
      </c>
      <c r="Q7" s="32">
        <f>P7-WEEKDAY(P7,3)</f>
        <v/>
      </c>
      <c r="R7" s="32">
        <f>INDEX('Current List'!$U:$U,MATCH($B7,'Current List'!$A:$A,0))</f>
        <v/>
      </c>
      <c r="S7" s="31">
        <f>TRIM(IF(J7&lt;&gt;"Approved","Layout not validated; ","")&amp;IF(M7="TBD","Config TBD (default units); ","")&amp;IF(H7="TBD","Labor TBD; ","")&amp;IF(A7="Outlier","Remote / out of route; ","")&amp;IF(A7="South TX","Long haul; ",""))</f>
        <v/>
      </c>
    </row>
    <row r="8">
      <c r="A8" s="31" t="inlineStr">
        <is>
          <t>DFW</t>
        </is>
      </c>
      <c r="B8" s="31" t="inlineStr">
        <is>
          <t>189620</t>
        </is>
      </c>
      <c r="C8" s="31" t="n">
        <v>8345</v>
      </c>
      <c r="D8" s="31" t="inlineStr">
        <is>
          <t>Grand Prairie</t>
        </is>
      </c>
      <c r="E8" s="31" t="inlineStr">
        <is>
          <t>TX</t>
        </is>
      </c>
      <c r="F8" s="31" t="inlineStr">
        <is>
          <t>75052</t>
        </is>
      </c>
      <c r="G8" s="31">
        <f>INDEX('Current List'!$L:$L,MATCH($B8,'Current List'!$A:$A,0))</f>
        <v/>
      </c>
      <c r="H8" s="31">
        <f>IF(INDEX('Current List'!$O:$O,MATCH($B8,'Current List'!$A:$A,0))=0,"TBD",INDEX('Current List'!$O:$O,MATCH($B8,'Current List'!$A:$A,0)))</f>
        <v/>
      </c>
      <c r="I8" s="31">
        <f>IF(OR(INDEX('Current List'!$R:$R,MATCH($B8,'Current List'!$A:$A,0))=0,INDEX('Current List'!$R:$R,MATCH($B8,'Current List'!$A:$A,0))="N/A"),"-",INDEX('Current List'!$R:$R,MATCH($B8,'Current List'!$A:$A,0)))</f>
        <v/>
      </c>
      <c r="J8" s="31">
        <f>INDEX('Current List'!$N:$N,MATCH($B8,'Current List'!$A:$A,0))</f>
        <v/>
      </c>
      <c r="K8" s="31">
        <f>IF(INDEX('Current List'!$S:$S,MATCH($B8,'Current List'!$A:$A,0))=0,"",INDEX('Current List'!$S:$S,MATCH($B8,'Current List'!$A:$A,0)))</f>
        <v/>
      </c>
      <c r="L8" s="31">
        <f>IFERROR(IF(ISNUMBER(K8),K8,VALUE(LEFT(K8,1))),Assumptions!$B$4)</f>
        <v/>
      </c>
      <c r="M8" s="31">
        <f>IF(K8="","TBD","Confirmed")</f>
        <v/>
      </c>
      <c r="N8" s="32">
        <f>INDEX('Current List'!$T:$T,MATCH($B8,'Current List'!$A:$A,0))</f>
        <v/>
      </c>
      <c r="O8" s="32">
        <f>WORKDAY(N8,-Assumptions!$B$5)</f>
        <v/>
      </c>
      <c r="P8" s="32">
        <f>WORKDAY(O8,-VLOOKUP(A8,Assumptions!$A$11:$B$16,2,FALSE))</f>
        <v/>
      </c>
      <c r="Q8" s="32">
        <f>P8-WEEKDAY(P8,3)</f>
        <v/>
      </c>
      <c r="R8" s="32">
        <f>INDEX('Current List'!$U:$U,MATCH($B8,'Current List'!$A:$A,0))</f>
        <v/>
      </c>
      <c r="S8" s="31">
        <f>TRIM(IF(J8&lt;&gt;"Approved","Layout not validated; ","")&amp;IF(M8="TBD","Config TBD (default units); ","")&amp;IF(H8="TBD","Labor TBD; ","")&amp;IF(A8="Outlier","Remote / out of route; ","")&amp;IF(A8="South TX","Long haul; ",""))</f>
        <v/>
      </c>
    </row>
    <row r="9">
      <c r="A9" s="31" t="inlineStr">
        <is>
          <t>DFW</t>
        </is>
      </c>
      <c r="B9" s="31" t="inlineStr">
        <is>
          <t>189473</t>
        </is>
      </c>
      <c r="C9" s="31" t="n">
        <v>6865</v>
      </c>
      <c r="D9" s="31" t="inlineStr">
        <is>
          <t>Lewisville</t>
        </is>
      </c>
      <c r="E9" s="31" t="inlineStr">
        <is>
          <t>TX</t>
        </is>
      </c>
      <c r="F9" s="31" t="inlineStr">
        <is>
          <t>75067</t>
        </is>
      </c>
      <c r="G9" s="31">
        <f>INDEX('Current List'!$L:$L,MATCH($B9,'Current List'!$A:$A,0))</f>
        <v/>
      </c>
      <c r="H9" s="31">
        <f>IF(INDEX('Current List'!$O:$O,MATCH($B9,'Current List'!$A:$A,0))=0,"TBD",INDEX('Current List'!$O:$O,MATCH($B9,'Current List'!$A:$A,0)))</f>
        <v/>
      </c>
      <c r="I9" s="31">
        <f>IF(OR(INDEX('Current List'!$R:$R,MATCH($B9,'Current List'!$A:$A,0))=0,INDEX('Current List'!$R:$R,MATCH($B9,'Current List'!$A:$A,0))="N/A"),"-",INDEX('Current List'!$R:$R,MATCH($B9,'Current List'!$A:$A,0)))</f>
        <v/>
      </c>
      <c r="J9" s="31">
        <f>INDEX('Current List'!$N:$N,MATCH($B9,'Current List'!$A:$A,0))</f>
        <v/>
      </c>
      <c r="K9" s="31">
        <f>IF(INDEX('Current List'!$S:$S,MATCH($B9,'Current List'!$A:$A,0))=0,"",INDEX('Current List'!$S:$S,MATCH($B9,'Current List'!$A:$A,0)))</f>
        <v/>
      </c>
      <c r="L9" s="31">
        <f>IFERROR(IF(ISNUMBER(K9),K9,VALUE(LEFT(K9,1))),Assumptions!$B$4)</f>
        <v/>
      </c>
      <c r="M9" s="31">
        <f>IF(K9="","TBD","Confirmed")</f>
        <v/>
      </c>
      <c r="N9" s="32">
        <f>INDEX('Current List'!$T:$T,MATCH($B9,'Current List'!$A:$A,0))</f>
        <v/>
      </c>
      <c r="O9" s="32">
        <f>WORKDAY(N9,-Assumptions!$B$5)</f>
        <v/>
      </c>
      <c r="P9" s="32">
        <f>WORKDAY(O9,-VLOOKUP(A9,Assumptions!$A$11:$B$16,2,FALSE))</f>
        <v/>
      </c>
      <c r="Q9" s="32">
        <f>P9-WEEKDAY(P9,3)</f>
        <v/>
      </c>
      <c r="R9" s="32">
        <f>INDEX('Current List'!$U:$U,MATCH($B9,'Current List'!$A:$A,0))</f>
        <v/>
      </c>
      <c r="S9" s="31">
        <f>TRIM(IF(J9&lt;&gt;"Approved","Layout not validated; ","")&amp;IF(M9="TBD","Config TBD (default units); ","")&amp;IF(H9="TBD","Labor TBD; ","")&amp;IF(A9="Outlier","Remote / out of route; ","")&amp;IF(A9="South TX","Long haul; ",""))</f>
        <v/>
      </c>
    </row>
    <row r="10">
      <c r="A10" s="31" t="inlineStr">
        <is>
          <t>DFW</t>
        </is>
      </c>
      <c r="B10" s="31" t="inlineStr">
        <is>
          <t>189281</t>
        </is>
      </c>
      <c r="C10" s="31" t="n">
        <v>3187</v>
      </c>
      <c r="D10" s="31" t="inlineStr">
        <is>
          <t>Coppell</t>
        </is>
      </c>
      <c r="E10" s="31" t="inlineStr">
        <is>
          <t>TX</t>
        </is>
      </c>
      <c r="F10" s="31" t="inlineStr">
        <is>
          <t>75019</t>
        </is>
      </c>
      <c r="G10" s="31">
        <f>INDEX('Current List'!$L:$L,MATCH($B10,'Current List'!$A:$A,0))</f>
        <v/>
      </c>
      <c r="H10" s="31">
        <f>IF(INDEX('Current List'!$O:$O,MATCH($B10,'Current List'!$A:$A,0))=0,"TBD",INDEX('Current List'!$O:$O,MATCH($B10,'Current List'!$A:$A,0)))</f>
        <v/>
      </c>
      <c r="I10" s="31">
        <f>IF(OR(INDEX('Current List'!$R:$R,MATCH($B10,'Current List'!$A:$A,0))=0,INDEX('Current List'!$R:$R,MATCH($B10,'Current List'!$A:$A,0))="N/A"),"-",INDEX('Current List'!$R:$R,MATCH($B10,'Current List'!$A:$A,0)))</f>
        <v/>
      </c>
      <c r="J10" s="31">
        <f>INDEX('Current List'!$N:$N,MATCH($B10,'Current List'!$A:$A,0))</f>
        <v/>
      </c>
      <c r="K10" s="31">
        <f>IF(INDEX('Current List'!$S:$S,MATCH($B10,'Current List'!$A:$A,0))=0,"",INDEX('Current List'!$S:$S,MATCH($B10,'Current List'!$A:$A,0)))</f>
        <v/>
      </c>
      <c r="L10" s="31">
        <f>IFERROR(IF(ISNUMBER(K10),K10,VALUE(LEFT(K10,1))),Assumptions!$B$4)</f>
        <v/>
      </c>
      <c r="M10" s="31">
        <f>IF(K10="","TBD","Confirmed")</f>
        <v/>
      </c>
      <c r="N10" s="32">
        <f>INDEX('Current List'!$T:$T,MATCH($B10,'Current List'!$A:$A,0))</f>
        <v/>
      </c>
      <c r="O10" s="32">
        <f>WORKDAY(N10,-Assumptions!$B$5)</f>
        <v/>
      </c>
      <c r="P10" s="32">
        <f>WORKDAY(O10,-VLOOKUP(A10,Assumptions!$A$11:$B$16,2,FALSE))</f>
        <v/>
      </c>
      <c r="Q10" s="32">
        <f>P10-WEEKDAY(P10,3)</f>
        <v/>
      </c>
      <c r="R10" s="32">
        <f>INDEX('Current List'!$U:$U,MATCH($B10,'Current List'!$A:$A,0))</f>
        <v/>
      </c>
      <c r="S10" s="31">
        <f>TRIM(IF(J10&lt;&gt;"Approved","Layout not validated; ","")&amp;IF(M10="TBD","Config TBD (default units); ","")&amp;IF(H10="TBD","Labor TBD; ","")&amp;IF(A10="Outlier","Remote / out of route; ","")&amp;IF(A10="South TX","Long haul; ",""))</f>
        <v/>
      </c>
    </row>
    <row r="11">
      <c r="A11" s="31" t="inlineStr">
        <is>
          <t>DFW</t>
        </is>
      </c>
      <c r="B11" s="31" t="inlineStr">
        <is>
          <t>189528</t>
        </is>
      </c>
      <c r="C11" s="31" t="n">
        <v>7787</v>
      </c>
      <c r="D11" s="31" t="inlineStr">
        <is>
          <t>Flower Mound</t>
        </is>
      </c>
      <c r="E11" s="31" t="inlineStr">
        <is>
          <t>TX</t>
        </is>
      </c>
      <c r="F11" s="31" t="inlineStr">
        <is>
          <t>75028</t>
        </is>
      </c>
      <c r="G11" s="31">
        <f>INDEX('Current List'!$L:$L,MATCH($B11,'Current List'!$A:$A,0))</f>
        <v/>
      </c>
      <c r="H11" s="31">
        <f>IF(INDEX('Current List'!$O:$O,MATCH($B11,'Current List'!$A:$A,0))=0,"TBD",INDEX('Current List'!$O:$O,MATCH($B11,'Current List'!$A:$A,0)))</f>
        <v/>
      </c>
      <c r="I11" s="31">
        <f>IF(OR(INDEX('Current List'!$R:$R,MATCH($B11,'Current List'!$A:$A,0))=0,INDEX('Current List'!$R:$R,MATCH($B11,'Current List'!$A:$A,0))="N/A"),"-",INDEX('Current List'!$R:$R,MATCH($B11,'Current List'!$A:$A,0)))</f>
        <v/>
      </c>
      <c r="J11" s="31">
        <f>INDEX('Current List'!$N:$N,MATCH($B11,'Current List'!$A:$A,0))</f>
        <v/>
      </c>
      <c r="K11" s="31">
        <f>IF(INDEX('Current List'!$S:$S,MATCH($B11,'Current List'!$A:$A,0))=0,"",INDEX('Current List'!$S:$S,MATCH($B11,'Current List'!$A:$A,0)))</f>
        <v/>
      </c>
      <c r="L11" s="31">
        <f>IFERROR(IF(ISNUMBER(K11),K11,VALUE(LEFT(K11,1))),Assumptions!$B$4)</f>
        <v/>
      </c>
      <c r="M11" s="31">
        <f>IF(K11="","TBD","Confirmed")</f>
        <v/>
      </c>
      <c r="N11" s="32">
        <f>INDEX('Current List'!$T:$T,MATCH($B11,'Current List'!$A:$A,0))</f>
        <v/>
      </c>
      <c r="O11" s="32">
        <f>WORKDAY(N11,-Assumptions!$B$5)</f>
        <v/>
      </c>
      <c r="P11" s="32">
        <f>WORKDAY(O11,-VLOOKUP(A11,Assumptions!$A$11:$B$16,2,FALSE))</f>
        <v/>
      </c>
      <c r="Q11" s="32">
        <f>P11-WEEKDAY(P11,3)</f>
        <v/>
      </c>
      <c r="R11" s="32">
        <f>INDEX('Current List'!$U:$U,MATCH($B11,'Current List'!$A:$A,0))</f>
        <v/>
      </c>
      <c r="S11" s="31">
        <f>TRIM(IF(J11&lt;&gt;"Approved","Layout not validated; ","")&amp;IF(M11="TBD","Config TBD (default units); ","")&amp;IF(H11="TBD","Labor TBD; ","")&amp;IF(A11="Outlier","Remote / out of route; ","")&amp;IF(A11="South TX","Long haul; ",""))</f>
        <v/>
      </c>
    </row>
    <row r="12">
      <c r="A12" s="31" t="inlineStr">
        <is>
          <t>DFW</t>
        </is>
      </c>
      <c r="B12" s="31" t="inlineStr">
        <is>
          <t>189474</t>
        </is>
      </c>
      <c r="C12" s="31" t="n">
        <v>6960</v>
      </c>
      <c r="D12" s="31" t="inlineStr">
        <is>
          <t>Carrollton</t>
        </is>
      </c>
      <c r="E12" s="31" t="inlineStr">
        <is>
          <t>TX</t>
        </is>
      </c>
      <c r="F12" s="31" t="inlineStr">
        <is>
          <t>75006</t>
        </is>
      </c>
      <c r="G12" s="31">
        <f>INDEX('Current List'!$L:$L,MATCH($B12,'Current List'!$A:$A,0))</f>
        <v/>
      </c>
      <c r="H12" s="31">
        <f>IF(INDEX('Current List'!$O:$O,MATCH($B12,'Current List'!$A:$A,0))=0,"TBD",INDEX('Current List'!$O:$O,MATCH($B12,'Current List'!$A:$A,0)))</f>
        <v/>
      </c>
      <c r="I12" s="31">
        <f>IF(OR(INDEX('Current List'!$R:$R,MATCH($B12,'Current List'!$A:$A,0))=0,INDEX('Current List'!$R:$R,MATCH($B12,'Current List'!$A:$A,0))="N/A"),"-",INDEX('Current List'!$R:$R,MATCH($B12,'Current List'!$A:$A,0)))</f>
        <v/>
      </c>
      <c r="J12" s="31">
        <f>INDEX('Current List'!$N:$N,MATCH($B12,'Current List'!$A:$A,0))</f>
        <v/>
      </c>
      <c r="K12" s="31">
        <f>IF(INDEX('Current List'!$S:$S,MATCH($B12,'Current List'!$A:$A,0))=0,"",INDEX('Current List'!$S:$S,MATCH($B12,'Current List'!$A:$A,0)))</f>
        <v/>
      </c>
      <c r="L12" s="31">
        <f>IFERROR(IF(ISNUMBER(K12),K12,VALUE(LEFT(K12,1))),Assumptions!$B$4)</f>
        <v/>
      </c>
      <c r="M12" s="31">
        <f>IF(K12="","TBD","Confirmed")</f>
        <v/>
      </c>
      <c r="N12" s="32">
        <f>INDEX('Current List'!$T:$T,MATCH($B12,'Current List'!$A:$A,0))</f>
        <v/>
      </c>
      <c r="O12" s="32">
        <f>WORKDAY(N12,-Assumptions!$B$5)</f>
        <v/>
      </c>
      <c r="P12" s="32">
        <f>WORKDAY(O12,-VLOOKUP(A12,Assumptions!$A$11:$B$16,2,FALSE))</f>
        <v/>
      </c>
      <c r="Q12" s="32">
        <f>P12-WEEKDAY(P12,3)</f>
        <v/>
      </c>
      <c r="R12" s="32">
        <f>INDEX('Current List'!$U:$U,MATCH($B12,'Current List'!$A:$A,0))</f>
        <v/>
      </c>
      <c r="S12" s="31">
        <f>TRIM(IF(J12&lt;&gt;"Approved","Layout not validated; ","")&amp;IF(M12="TBD","Config TBD (default units); ","")&amp;IF(H12="TBD","Labor TBD; ","")&amp;IF(A12="Outlier","Remote / out of route; ","")&amp;IF(A12="South TX","Long haul; ",""))</f>
        <v/>
      </c>
    </row>
    <row r="13">
      <c r="A13" s="31" t="inlineStr">
        <is>
          <t>DFW</t>
        </is>
      </c>
      <c r="B13" s="31" t="inlineStr">
        <is>
          <t>189529</t>
        </is>
      </c>
      <c r="C13" s="31" t="n">
        <v>7804</v>
      </c>
      <c r="D13" s="31" t="inlineStr">
        <is>
          <t>Plano</t>
        </is>
      </c>
      <c r="E13" s="31" t="inlineStr">
        <is>
          <t>TX</t>
        </is>
      </c>
      <c r="F13" s="31" t="inlineStr">
        <is>
          <t>75093</t>
        </is>
      </c>
      <c r="G13" s="31">
        <f>INDEX('Current List'!$L:$L,MATCH($B13,'Current List'!$A:$A,0))</f>
        <v/>
      </c>
      <c r="H13" s="31">
        <f>IF(INDEX('Current List'!$O:$O,MATCH($B13,'Current List'!$A:$A,0))=0,"TBD",INDEX('Current List'!$O:$O,MATCH($B13,'Current List'!$A:$A,0)))</f>
        <v/>
      </c>
      <c r="I13" s="31">
        <f>IF(OR(INDEX('Current List'!$R:$R,MATCH($B13,'Current List'!$A:$A,0))=0,INDEX('Current List'!$R:$R,MATCH($B13,'Current List'!$A:$A,0))="N/A"),"-",INDEX('Current List'!$R:$R,MATCH($B13,'Current List'!$A:$A,0)))</f>
        <v/>
      </c>
      <c r="J13" s="31">
        <f>INDEX('Current List'!$N:$N,MATCH($B13,'Current List'!$A:$A,0))</f>
        <v/>
      </c>
      <c r="K13" s="31">
        <f>IF(INDEX('Current List'!$S:$S,MATCH($B13,'Current List'!$A:$A,0))=0,"",INDEX('Current List'!$S:$S,MATCH($B13,'Current List'!$A:$A,0)))</f>
        <v/>
      </c>
      <c r="L13" s="31">
        <f>IFERROR(IF(ISNUMBER(K13),K13,VALUE(LEFT(K13,1))),Assumptions!$B$4)</f>
        <v/>
      </c>
      <c r="M13" s="31">
        <f>IF(K13="","TBD","Confirmed")</f>
        <v/>
      </c>
      <c r="N13" s="32">
        <f>INDEX('Current List'!$T:$T,MATCH($B13,'Current List'!$A:$A,0))</f>
        <v/>
      </c>
      <c r="O13" s="32">
        <f>WORKDAY(N13,-Assumptions!$B$5)</f>
        <v/>
      </c>
      <c r="P13" s="32">
        <f>WORKDAY(O13,-VLOOKUP(A13,Assumptions!$A$11:$B$16,2,FALSE))</f>
        <v/>
      </c>
      <c r="Q13" s="32">
        <f>P13-WEEKDAY(P13,3)</f>
        <v/>
      </c>
      <c r="R13" s="32">
        <f>INDEX('Current List'!$U:$U,MATCH($B13,'Current List'!$A:$A,0))</f>
        <v/>
      </c>
      <c r="S13" s="31">
        <f>TRIM(IF(J13&lt;&gt;"Approved","Layout not validated; ","")&amp;IF(M13="TBD","Config TBD (default units); ","")&amp;IF(H13="TBD","Labor TBD; ","")&amp;IF(A13="Outlier","Remote / out of route; ","")&amp;IF(A13="South TX","Long haul; ",""))</f>
        <v/>
      </c>
    </row>
    <row r="14">
      <c r="A14" s="31" t="inlineStr">
        <is>
          <t>DFW</t>
        </is>
      </c>
      <c r="B14" s="31" t="inlineStr">
        <is>
          <t>189986</t>
        </is>
      </c>
      <c r="C14" s="31" t="n">
        <v>10271</v>
      </c>
      <c r="D14" s="31" t="inlineStr">
        <is>
          <t>Denton</t>
        </is>
      </c>
      <c r="E14" s="31" t="inlineStr">
        <is>
          <t>TX</t>
        </is>
      </c>
      <c r="F14" s="31" t="inlineStr">
        <is>
          <t>76201</t>
        </is>
      </c>
      <c r="G14" s="31">
        <f>INDEX('Current List'!$L:$L,MATCH($B14,'Current List'!$A:$A,0))</f>
        <v/>
      </c>
      <c r="H14" s="31">
        <f>IF(INDEX('Current List'!$O:$O,MATCH($B14,'Current List'!$A:$A,0))=0,"TBD",INDEX('Current List'!$O:$O,MATCH($B14,'Current List'!$A:$A,0)))</f>
        <v/>
      </c>
      <c r="I14" s="31">
        <f>IF(OR(INDEX('Current List'!$R:$R,MATCH($B14,'Current List'!$A:$A,0))=0,INDEX('Current List'!$R:$R,MATCH($B14,'Current List'!$A:$A,0))="N/A"),"-",INDEX('Current List'!$R:$R,MATCH($B14,'Current List'!$A:$A,0)))</f>
        <v/>
      </c>
      <c r="J14" s="31">
        <f>INDEX('Current List'!$N:$N,MATCH($B14,'Current List'!$A:$A,0))</f>
        <v/>
      </c>
      <c r="K14" s="31">
        <f>IF(INDEX('Current List'!$S:$S,MATCH($B14,'Current List'!$A:$A,0))=0,"",INDEX('Current List'!$S:$S,MATCH($B14,'Current List'!$A:$A,0)))</f>
        <v/>
      </c>
      <c r="L14" s="31">
        <f>IFERROR(IF(ISNUMBER(K14),K14,VALUE(LEFT(K14,1))),Assumptions!$B$4)</f>
        <v/>
      </c>
      <c r="M14" s="31">
        <f>IF(K14="","TBD","Confirmed")</f>
        <v/>
      </c>
      <c r="N14" s="32">
        <f>INDEX('Current List'!$T:$T,MATCH($B14,'Current List'!$A:$A,0))</f>
        <v/>
      </c>
      <c r="O14" s="32">
        <f>WORKDAY(N14,-Assumptions!$B$5)</f>
        <v/>
      </c>
      <c r="P14" s="32">
        <f>WORKDAY(O14,-VLOOKUP(A14,Assumptions!$A$11:$B$16,2,FALSE))</f>
        <v/>
      </c>
      <c r="Q14" s="32">
        <f>P14-WEEKDAY(P14,3)</f>
        <v/>
      </c>
      <c r="R14" s="32">
        <f>INDEX('Current List'!$U:$U,MATCH($B14,'Current List'!$A:$A,0))</f>
        <v/>
      </c>
      <c r="S14" s="31">
        <f>TRIM(IF(J14&lt;&gt;"Approved","Layout not validated; ","")&amp;IF(M14="TBD","Config TBD (default units); ","")&amp;IF(H14="TBD","Labor TBD; ","")&amp;IF(A14="Outlier","Remote / out of route; ","")&amp;IF(A14="South TX","Long haul; ",""))</f>
        <v/>
      </c>
    </row>
    <row r="15">
      <c r="A15" s="31" t="inlineStr">
        <is>
          <t>DFW</t>
        </is>
      </c>
      <c r="B15" s="31" t="inlineStr">
        <is>
          <t>189426</t>
        </is>
      </c>
      <c r="C15" s="31" t="n">
        <v>5799</v>
      </c>
      <c r="D15" s="31" t="inlineStr">
        <is>
          <t>Mckinney</t>
        </is>
      </c>
      <c r="E15" s="31" t="inlineStr">
        <is>
          <t>TX</t>
        </is>
      </c>
      <c r="F15" s="31" t="inlineStr">
        <is>
          <t>75070</t>
        </is>
      </c>
      <c r="G15" s="31">
        <f>INDEX('Current List'!$L:$L,MATCH($B15,'Current List'!$A:$A,0))</f>
        <v/>
      </c>
      <c r="H15" s="31">
        <f>IF(INDEX('Current List'!$O:$O,MATCH($B15,'Current List'!$A:$A,0))=0,"TBD",INDEX('Current List'!$O:$O,MATCH($B15,'Current List'!$A:$A,0)))</f>
        <v/>
      </c>
      <c r="I15" s="31">
        <f>IF(OR(INDEX('Current List'!$R:$R,MATCH($B15,'Current List'!$A:$A,0))=0,INDEX('Current List'!$R:$R,MATCH($B15,'Current List'!$A:$A,0))="N/A"),"-",INDEX('Current List'!$R:$R,MATCH($B15,'Current List'!$A:$A,0)))</f>
        <v/>
      </c>
      <c r="J15" s="31">
        <f>INDEX('Current List'!$N:$N,MATCH($B15,'Current List'!$A:$A,0))</f>
        <v/>
      </c>
      <c r="K15" s="31">
        <f>IF(INDEX('Current List'!$S:$S,MATCH($B15,'Current List'!$A:$A,0))=0,"",INDEX('Current List'!$S:$S,MATCH($B15,'Current List'!$A:$A,0)))</f>
        <v/>
      </c>
      <c r="L15" s="31">
        <f>IFERROR(IF(ISNUMBER(K15),K15,VALUE(LEFT(K15,1))),Assumptions!$B$4)</f>
        <v/>
      </c>
      <c r="M15" s="31">
        <f>IF(K15="","TBD","Confirmed")</f>
        <v/>
      </c>
      <c r="N15" s="32">
        <f>INDEX('Current List'!$T:$T,MATCH($B15,'Current List'!$A:$A,0))</f>
        <v/>
      </c>
      <c r="O15" s="32">
        <f>WORKDAY(N15,-Assumptions!$B$5)</f>
        <v/>
      </c>
      <c r="P15" s="32">
        <f>WORKDAY(O15,-VLOOKUP(A15,Assumptions!$A$11:$B$16,2,FALSE))</f>
        <v/>
      </c>
      <c r="Q15" s="32">
        <f>P15-WEEKDAY(P15,3)</f>
        <v/>
      </c>
      <c r="R15" s="32">
        <f>INDEX('Current List'!$U:$U,MATCH($B15,'Current List'!$A:$A,0))</f>
        <v/>
      </c>
      <c r="S15" s="31">
        <f>TRIM(IF(J15&lt;&gt;"Approved","Layout not validated; ","")&amp;IF(M15="TBD","Config TBD (default units); ","")&amp;IF(H15="TBD","Labor TBD; ","")&amp;IF(A15="Outlier","Remote / out of route; ","")&amp;IF(A15="South TX","Long haul; ",""))</f>
        <v/>
      </c>
    </row>
    <row r="16">
      <c r="A16" s="31" t="inlineStr">
        <is>
          <t>DFW</t>
        </is>
      </c>
      <c r="B16" s="31" t="inlineStr">
        <is>
          <t>190031</t>
        </is>
      </c>
      <c r="C16" s="31" t="n">
        <v>10635</v>
      </c>
      <c r="D16" s="31" t="inlineStr">
        <is>
          <t>Royse City</t>
        </is>
      </c>
      <c r="E16" s="31" t="inlineStr">
        <is>
          <t>TX</t>
        </is>
      </c>
      <c r="F16" s="31" t="inlineStr">
        <is>
          <t>75189</t>
        </is>
      </c>
      <c r="G16" s="31">
        <f>INDEX('Current List'!$L:$L,MATCH($B16,'Current List'!$A:$A,0))</f>
        <v/>
      </c>
      <c r="H16" s="31">
        <f>IF(INDEX('Current List'!$O:$O,MATCH($B16,'Current List'!$A:$A,0))=0,"TBD",INDEX('Current List'!$O:$O,MATCH($B16,'Current List'!$A:$A,0)))</f>
        <v/>
      </c>
      <c r="I16" s="31">
        <f>IF(OR(INDEX('Current List'!$R:$R,MATCH($B16,'Current List'!$A:$A,0))=0,INDEX('Current List'!$R:$R,MATCH($B16,'Current List'!$A:$A,0))="N/A"),"-",INDEX('Current List'!$R:$R,MATCH($B16,'Current List'!$A:$A,0)))</f>
        <v/>
      </c>
      <c r="J16" s="31">
        <f>INDEX('Current List'!$N:$N,MATCH($B16,'Current List'!$A:$A,0))</f>
        <v/>
      </c>
      <c r="K16" s="31">
        <f>IF(INDEX('Current List'!$S:$S,MATCH($B16,'Current List'!$A:$A,0))=0,"",INDEX('Current List'!$S:$S,MATCH($B16,'Current List'!$A:$A,0)))</f>
        <v/>
      </c>
      <c r="L16" s="31">
        <f>IFERROR(IF(ISNUMBER(K16),K16,VALUE(LEFT(K16,1))),Assumptions!$B$4)</f>
        <v/>
      </c>
      <c r="M16" s="31">
        <f>IF(K16="","TBD","Confirmed")</f>
        <v/>
      </c>
      <c r="N16" s="32">
        <f>INDEX('Current List'!$T:$T,MATCH($B16,'Current List'!$A:$A,0))</f>
        <v/>
      </c>
      <c r="O16" s="32">
        <f>WORKDAY(N16,-Assumptions!$B$5)</f>
        <v/>
      </c>
      <c r="P16" s="32">
        <f>WORKDAY(O16,-VLOOKUP(A16,Assumptions!$A$11:$B$16,2,FALSE))</f>
        <v/>
      </c>
      <c r="Q16" s="32">
        <f>P16-WEEKDAY(P16,3)</f>
        <v/>
      </c>
      <c r="R16" s="32">
        <f>INDEX('Current List'!$U:$U,MATCH($B16,'Current List'!$A:$A,0))</f>
        <v/>
      </c>
      <c r="S16" s="31">
        <f>TRIM(IF(J16&lt;&gt;"Approved","Layout not validated; ","")&amp;IF(M16="TBD","Config TBD (default units); ","")&amp;IF(H16="TBD","Labor TBD; ","")&amp;IF(A16="Outlier","Remote / out of route; ","")&amp;IF(A16="South TX","Long haul; ",""))</f>
        <v/>
      </c>
    </row>
    <row r="17">
      <c r="A17" s="31" t="inlineStr">
        <is>
          <t>DFW</t>
        </is>
      </c>
      <c r="B17" s="31" t="inlineStr">
        <is>
          <t>189472</t>
        </is>
      </c>
      <c r="C17" s="31" t="n">
        <v>6965</v>
      </c>
      <c r="D17" s="31" t="inlineStr">
        <is>
          <t>Dallas</t>
        </is>
      </c>
      <c r="E17" s="31" t="inlineStr">
        <is>
          <t>TX</t>
        </is>
      </c>
      <c r="F17" s="31" t="inlineStr">
        <is>
          <t>75231</t>
        </is>
      </c>
      <c r="G17" s="31">
        <f>INDEX('Current List'!$L:$L,MATCH($B17,'Current List'!$A:$A,0))</f>
        <v/>
      </c>
      <c r="H17" s="31">
        <f>IF(INDEX('Current List'!$O:$O,MATCH($B17,'Current List'!$A:$A,0))=0,"TBD",INDEX('Current List'!$O:$O,MATCH($B17,'Current List'!$A:$A,0)))</f>
        <v/>
      </c>
      <c r="I17" s="31">
        <f>IF(OR(INDEX('Current List'!$R:$R,MATCH($B17,'Current List'!$A:$A,0))=0,INDEX('Current List'!$R:$R,MATCH($B17,'Current List'!$A:$A,0))="N/A"),"-",INDEX('Current List'!$R:$R,MATCH($B17,'Current List'!$A:$A,0)))</f>
        <v/>
      </c>
      <c r="J17" s="31">
        <f>INDEX('Current List'!$N:$N,MATCH($B17,'Current List'!$A:$A,0))</f>
        <v/>
      </c>
      <c r="K17" s="31">
        <f>IF(INDEX('Current List'!$S:$S,MATCH($B17,'Current List'!$A:$A,0))=0,"",INDEX('Current List'!$S:$S,MATCH($B17,'Current List'!$A:$A,0)))</f>
        <v/>
      </c>
      <c r="L17" s="31">
        <f>IFERROR(IF(ISNUMBER(K17),K17,VALUE(LEFT(K17,1))),Assumptions!$B$4)</f>
        <v/>
      </c>
      <c r="M17" s="31">
        <f>IF(K17="","TBD","Confirmed")</f>
        <v/>
      </c>
      <c r="N17" s="32">
        <f>INDEX('Current List'!$T:$T,MATCH($B17,'Current List'!$A:$A,0))</f>
        <v/>
      </c>
      <c r="O17" s="32">
        <f>WORKDAY(N17,-Assumptions!$B$5)</f>
        <v/>
      </c>
      <c r="P17" s="32">
        <f>WORKDAY(O17,-VLOOKUP(A17,Assumptions!$A$11:$B$16,2,FALSE))</f>
        <v/>
      </c>
      <c r="Q17" s="32">
        <f>P17-WEEKDAY(P17,3)</f>
        <v/>
      </c>
      <c r="R17" s="32">
        <f>INDEX('Current List'!$U:$U,MATCH($B17,'Current List'!$A:$A,0))</f>
        <v/>
      </c>
      <c r="S17" s="31">
        <f>TRIM(IF(J17&lt;&gt;"Approved","Layout not validated; ","")&amp;IF(M17="TBD","Config TBD (default units); ","")&amp;IF(H17="TBD","Labor TBD; ","")&amp;IF(A17="Outlier","Remote / out of route; ","")&amp;IF(A17="South TX","Long haul; ",""))</f>
        <v/>
      </c>
    </row>
    <row r="18">
      <c r="A18" s="31" t="inlineStr">
        <is>
          <t>DFW</t>
        </is>
      </c>
      <c r="B18" s="31" t="inlineStr">
        <is>
          <t>189987</t>
        </is>
      </c>
      <c r="C18" s="31" t="n">
        <v>10523</v>
      </c>
      <c r="D18" s="31" t="inlineStr">
        <is>
          <t>Frisco</t>
        </is>
      </c>
      <c r="E18" s="31" t="inlineStr">
        <is>
          <t>TX</t>
        </is>
      </c>
      <c r="F18" s="31" t="inlineStr">
        <is>
          <t>75036</t>
        </is>
      </c>
      <c r="G18" s="31">
        <f>INDEX('Current List'!$L:$L,MATCH($B18,'Current List'!$A:$A,0))</f>
        <v/>
      </c>
      <c r="H18" s="31">
        <f>IF(INDEX('Current List'!$O:$O,MATCH($B18,'Current List'!$A:$A,0))=0,"TBD",INDEX('Current List'!$O:$O,MATCH($B18,'Current List'!$A:$A,0)))</f>
        <v/>
      </c>
      <c r="I18" s="31">
        <f>IF(OR(INDEX('Current List'!$R:$R,MATCH($B18,'Current List'!$A:$A,0))=0,INDEX('Current List'!$R:$R,MATCH($B18,'Current List'!$A:$A,0))="N/A"),"-",INDEX('Current List'!$R:$R,MATCH($B18,'Current List'!$A:$A,0)))</f>
        <v/>
      </c>
      <c r="J18" s="31">
        <f>INDEX('Current List'!$N:$N,MATCH($B18,'Current List'!$A:$A,0))</f>
        <v/>
      </c>
      <c r="K18" s="31">
        <f>IF(INDEX('Current List'!$S:$S,MATCH($B18,'Current List'!$A:$A,0))=0,"",INDEX('Current List'!$S:$S,MATCH($B18,'Current List'!$A:$A,0)))</f>
        <v/>
      </c>
      <c r="L18" s="31">
        <f>IFERROR(IF(ISNUMBER(K18),K18,VALUE(LEFT(K18,1))),Assumptions!$B$4)</f>
        <v/>
      </c>
      <c r="M18" s="31">
        <f>IF(K18="","TBD","Confirmed")</f>
        <v/>
      </c>
      <c r="N18" s="32">
        <f>INDEX('Current List'!$T:$T,MATCH($B18,'Current List'!$A:$A,0))</f>
        <v/>
      </c>
      <c r="O18" s="32">
        <f>WORKDAY(N18,-Assumptions!$B$5)</f>
        <v/>
      </c>
      <c r="P18" s="32">
        <f>WORKDAY(O18,-VLOOKUP(A18,Assumptions!$A$11:$B$16,2,FALSE))</f>
        <v/>
      </c>
      <c r="Q18" s="32">
        <f>P18-WEEKDAY(P18,3)</f>
        <v/>
      </c>
      <c r="R18" s="32">
        <f>INDEX('Current List'!$U:$U,MATCH($B18,'Current List'!$A:$A,0))</f>
        <v/>
      </c>
      <c r="S18" s="31">
        <f>TRIM(IF(J18&lt;&gt;"Approved","Layout not validated; ","")&amp;IF(M18="TBD","Config TBD (default units); ","")&amp;IF(H18="TBD","Labor TBD; ","")&amp;IF(A18="Outlier","Remote / out of route; ","")&amp;IF(A18="South TX","Long haul; ",""))</f>
        <v/>
      </c>
    </row>
    <row r="19">
      <c r="A19" s="31" t="inlineStr">
        <is>
          <t>DFW</t>
        </is>
      </c>
      <c r="B19" s="31" t="inlineStr">
        <is>
          <t>189427</t>
        </is>
      </c>
      <c r="C19" s="31" t="n">
        <v>5952</v>
      </c>
      <c r="D19" s="31" t="inlineStr">
        <is>
          <t>Mckinney</t>
        </is>
      </c>
      <c r="E19" s="31" t="inlineStr">
        <is>
          <t>TX</t>
        </is>
      </c>
      <c r="F19" s="31" t="inlineStr">
        <is>
          <t>75071</t>
        </is>
      </c>
      <c r="G19" s="31">
        <f>INDEX('Current List'!$L:$L,MATCH($B19,'Current List'!$A:$A,0))</f>
        <v/>
      </c>
      <c r="H19" s="31">
        <f>IF(INDEX('Current List'!$O:$O,MATCH($B19,'Current List'!$A:$A,0))=0,"TBD",INDEX('Current List'!$O:$O,MATCH($B19,'Current List'!$A:$A,0)))</f>
        <v/>
      </c>
      <c r="I19" s="31">
        <f>IF(OR(INDEX('Current List'!$R:$R,MATCH($B19,'Current List'!$A:$A,0))=0,INDEX('Current List'!$R:$R,MATCH($B19,'Current List'!$A:$A,0))="N/A"),"-",INDEX('Current List'!$R:$R,MATCH($B19,'Current List'!$A:$A,0)))</f>
        <v/>
      </c>
      <c r="J19" s="31">
        <f>INDEX('Current List'!$N:$N,MATCH($B19,'Current List'!$A:$A,0))</f>
        <v/>
      </c>
      <c r="K19" s="31">
        <f>IF(INDEX('Current List'!$S:$S,MATCH($B19,'Current List'!$A:$A,0))=0,"",INDEX('Current List'!$S:$S,MATCH($B19,'Current List'!$A:$A,0)))</f>
        <v/>
      </c>
      <c r="L19" s="31">
        <f>IFERROR(IF(ISNUMBER(K19),K19,VALUE(LEFT(K19,1))),Assumptions!$B$4)</f>
        <v/>
      </c>
      <c r="M19" s="31">
        <f>IF(K19="","TBD","Confirmed")</f>
        <v/>
      </c>
      <c r="N19" s="32">
        <f>INDEX('Current List'!$T:$T,MATCH($B19,'Current List'!$A:$A,0))</f>
        <v/>
      </c>
      <c r="O19" s="32">
        <f>WORKDAY(N19,-Assumptions!$B$5)</f>
        <v/>
      </c>
      <c r="P19" s="32">
        <f>WORKDAY(O19,-VLOOKUP(A19,Assumptions!$A$11:$B$16,2,FALSE))</f>
        <v/>
      </c>
      <c r="Q19" s="32">
        <f>P19-WEEKDAY(P19,3)</f>
        <v/>
      </c>
      <c r="R19" s="32">
        <f>INDEX('Current List'!$U:$U,MATCH($B19,'Current List'!$A:$A,0))</f>
        <v/>
      </c>
      <c r="S19" s="31">
        <f>TRIM(IF(J19&lt;&gt;"Approved","Layout not validated; ","")&amp;IF(M19="TBD","Config TBD (default units); ","")&amp;IF(H19="TBD","Labor TBD; ","")&amp;IF(A19="Outlier","Remote / out of route; ","")&amp;IF(A19="South TX","Long haul; ",""))</f>
        <v/>
      </c>
    </row>
    <row r="20">
      <c r="A20" s="31" t="inlineStr">
        <is>
          <t>DFW</t>
        </is>
      </c>
      <c r="B20" s="31" t="inlineStr">
        <is>
          <t>189530</t>
        </is>
      </c>
      <c r="C20" s="31" t="n">
        <v>7562</v>
      </c>
      <c r="D20" s="31" t="inlineStr">
        <is>
          <t>Frisco</t>
        </is>
      </c>
      <c r="E20" s="31" t="inlineStr">
        <is>
          <t>TX</t>
        </is>
      </c>
      <c r="F20" s="31" t="inlineStr">
        <is>
          <t>75033</t>
        </is>
      </c>
      <c r="G20" s="31">
        <f>INDEX('Current List'!$L:$L,MATCH($B20,'Current List'!$A:$A,0))</f>
        <v/>
      </c>
      <c r="H20" s="31">
        <f>IF(INDEX('Current List'!$O:$O,MATCH($B20,'Current List'!$A:$A,0))=0,"TBD",INDEX('Current List'!$O:$O,MATCH($B20,'Current List'!$A:$A,0)))</f>
        <v/>
      </c>
      <c r="I20" s="31">
        <f>IF(OR(INDEX('Current List'!$R:$R,MATCH($B20,'Current List'!$A:$A,0))=0,INDEX('Current List'!$R:$R,MATCH($B20,'Current List'!$A:$A,0))="N/A"),"-",INDEX('Current List'!$R:$R,MATCH($B20,'Current List'!$A:$A,0)))</f>
        <v/>
      </c>
      <c r="J20" s="31">
        <f>INDEX('Current List'!$N:$N,MATCH($B20,'Current List'!$A:$A,0))</f>
        <v/>
      </c>
      <c r="K20" s="31">
        <f>IF(INDEX('Current List'!$S:$S,MATCH($B20,'Current List'!$A:$A,0))=0,"",INDEX('Current List'!$S:$S,MATCH($B20,'Current List'!$A:$A,0)))</f>
        <v/>
      </c>
      <c r="L20" s="31">
        <f>IFERROR(IF(ISNUMBER(K20),K20,VALUE(LEFT(K20,1))),Assumptions!$B$4)</f>
        <v/>
      </c>
      <c r="M20" s="31">
        <f>IF(K20="","TBD","Confirmed")</f>
        <v/>
      </c>
      <c r="N20" s="32">
        <f>INDEX('Current List'!$T:$T,MATCH($B20,'Current List'!$A:$A,0))</f>
        <v/>
      </c>
      <c r="O20" s="32">
        <f>WORKDAY(N20,-Assumptions!$B$5)</f>
        <v/>
      </c>
      <c r="P20" s="32">
        <f>WORKDAY(O20,-VLOOKUP(A20,Assumptions!$A$11:$B$16,2,FALSE))</f>
        <v/>
      </c>
      <c r="Q20" s="32">
        <f>P20-WEEKDAY(P20,3)</f>
        <v/>
      </c>
      <c r="R20" s="32">
        <f>INDEX('Current List'!$U:$U,MATCH($B20,'Current List'!$A:$A,0))</f>
        <v/>
      </c>
      <c r="S20" s="31">
        <f>TRIM(IF(J20&lt;&gt;"Approved","Layout not validated; ","")&amp;IF(M20="TBD","Config TBD (default units); ","")&amp;IF(H20="TBD","Labor TBD; ","")&amp;IF(A20="Outlier","Remote / out of route; ","")&amp;IF(A20="South TX","Long haul; ",""))</f>
        <v/>
      </c>
    </row>
    <row r="21">
      <c r="A21" s="31" t="inlineStr">
        <is>
          <t>Houston</t>
        </is>
      </c>
      <c r="B21" s="31" t="inlineStr">
        <is>
          <t>190020</t>
        </is>
      </c>
      <c r="C21" s="31" t="n">
        <v>10996</v>
      </c>
      <c r="D21" s="31" t="inlineStr">
        <is>
          <t>Willis</t>
        </is>
      </c>
      <c r="E21" s="31" t="inlineStr">
        <is>
          <t>TX</t>
        </is>
      </c>
      <c r="F21" s="31" t="inlineStr">
        <is>
          <t>77318</t>
        </is>
      </c>
      <c r="G21" s="31">
        <f>INDEX('Current List'!$L:$L,MATCH($B21,'Current List'!$A:$A,0))</f>
        <v/>
      </c>
      <c r="H21" s="31">
        <f>IF(INDEX('Current List'!$O:$O,MATCH($B21,'Current List'!$A:$A,0))=0,"TBD",INDEX('Current List'!$O:$O,MATCH($B21,'Current List'!$A:$A,0)))</f>
        <v/>
      </c>
      <c r="I21" s="31">
        <f>IF(OR(INDEX('Current List'!$R:$R,MATCH($B21,'Current List'!$A:$A,0))=0,INDEX('Current List'!$R:$R,MATCH($B21,'Current List'!$A:$A,0))="N/A"),"-",INDEX('Current List'!$R:$R,MATCH($B21,'Current List'!$A:$A,0)))</f>
        <v/>
      </c>
      <c r="J21" s="31">
        <f>INDEX('Current List'!$N:$N,MATCH($B21,'Current List'!$A:$A,0))</f>
        <v/>
      </c>
      <c r="K21" s="31">
        <f>IF(INDEX('Current List'!$S:$S,MATCH($B21,'Current List'!$A:$A,0))=0,"",INDEX('Current List'!$S:$S,MATCH($B21,'Current List'!$A:$A,0)))</f>
        <v/>
      </c>
      <c r="L21" s="31">
        <f>IFERROR(IF(ISNUMBER(K21),K21,VALUE(LEFT(K21,1))),Assumptions!$B$4)</f>
        <v/>
      </c>
      <c r="M21" s="31">
        <f>IF(K21="","TBD","Confirmed")</f>
        <v/>
      </c>
      <c r="N21" s="32">
        <f>INDEX('Current List'!$T:$T,MATCH($B21,'Current List'!$A:$A,0))</f>
        <v/>
      </c>
      <c r="O21" s="32">
        <f>WORKDAY(N21,-Assumptions!$B$5)</f>
        <v/>
      </c>
      <c r="P21" s="32">
        <f>WORKDAY(O21,-VLOOKUP(A21,Assumptions!$A$11:$B$16,2,FALSE))</f>
        <v/>
      </c>
      <c r="Q21" s="32">
        <f>P21-WEEKDAY(P21,3)</f>
        <v/>
      </c>
      <c r="R21" s="32">
        <f>INDEX('Current List'!$U:$U,MATCH($B21,'Current List'!$A:$A,0))</f>
        <v/>
      </c>
      <c r="S21" s="31">
        <f>TRIM(IF(J21&lt;&gt;"Approved","Layout not validated; ","")&amp;IF(M21="TBD","Config TBD (default units); ","")&amp;IF(H21="TBD","Labor TBD; ","")&amp;IF(A21="Outlier","Remote / out of route; ","")&amp;IF(A21="South TX","Long haul; ",""))</f>
        <v/>
      </c>
    </row>
    <row r="22">
      <c r="A22" s="31" t="inlineStr">
        <is>
          <t>Houston</t>
        </is>
      </c>
      <c r="B22" s="31" t="inlineStr">
        <is>
          <t>189518</t>
        </is>
      </c>
      <c r="C22" s="31" t="n">
        <v>7092</v>
      </c>
      <c r="D22" s="31" t="inlineStr">
        <is>
          <t>Houston</t>
        </is>
      </c>
      <c r="E22" s="31" t="inlineStr">
        <is>
          <t>TX</t>
        </is>
      </c>
      <c r="F22" s="31" t="inlineStr">
        <is>
          <t>77008</t>
        </is>
      </c>
      <c r="G22" s="31">
        <f>INDEX('Current List'!$L:$L,MATCH($B22,'Current List'!$A:$A,0))</f>
        <v/>
      </c>
      <c r="H22" s="31">
        <f>IF(INDEX('Current List'!$O:$O,MATCH($B22,'Current List'!$A:$A,0))=0,"TBD",INDEX('Current List'!$O:$O,MATCH($B22,'Current List'!$A:$A,0)))</f>
        <v/>
      </c>
      <c r="I22" s="31">
        <f>IF(OR(INDEX('Current List'!$R:$R,MATCH($B22,'Current List'!$A:$A,0))=0,INDEX('Current List'!$R:$R,MATCH($B22,'Current List'!$A:$A,0))="N/A"),"-",INDEX('Current List'!$R:$R,MATCH($B22,'Current List'!$A:$A,0)))</f>
        <v/>
      </c>
      <c r="J22" s="31">
        <f>INDEX('Current List'!$N:$N,MATCH($B22,'Current List'!$A:$A,0))</f>
        <v/>
      </c>
      <c r="K22" s="31">
        <f>IF(INDEX('Current List'!$S:$S,MATCH($B22,'Current List'!$A:$A,0))=0,"",INDEX('Current List'!$S:$S,MATCH($B22,'Current List'!$A:$A,0)))</f>
        <v/>
      </c>
      <c r="L22" s="31">
        <f>IFERROR(IF(ISNUMBER(K22),K22,VALUE(LEFT(K22,1))),Assumptions!$B$4)</f>
        <v/>
      </c>
      <c r="M22" s="31">
        <f>IF(K22="","TBD","Confirmed")</f>
        <v/>
      </c>
      <c r="N22" s="32">
        <f>INDEX('Current List'!$T:$T,MATCH($B22,'Current List'!$A:$A,0))</f>
        <v/>
      </c>
      <c r="O22" s="32">
        <f>WORKDAY(N22,-Assumptions!$B$5)</f>
        <v/>
      </c>
      <c r="P22" s="32">
        <f>WORKDAY(O22,-VLOOKUP(A22,Assumptions!$A$11:$B$16,2,FALSE))</f>
        <v/>
      </c>
      <c r="Q22" s="32">
        <f>P22-WEEKDAY(P22,3)</f>
        <v/>
      </c>
      <c r="R22" s="32">
        <f>INDEX('Current List'!$U:$U,MATCH($B22,'Current List'!$A:$A,0))</f>
        <v/>
      </c>
      <c r="S22" s="31">
        <f>TRIM(IF(J22&lt;&gt;"Approved","Layout not validated; ","")&amp;IF(M22="TBD","Config TBD (default units); ","")&amp;IF(H22="TBD","Labor TBD; ","")&amp;IF(A22="Outlier","Remote / out of route; ","")&amp;IF(A22="South TX","Long haul; ",""))</f>
        <v/>
      </c>
    </row>
    <row r="23">
      <c r="A23" s="31" t="inlineStr">
        <is>
          <t>Houston</t>
        </is>
      </c>
      <c r="B23" s="31" t="inlineStr">
        <is>
          <t>189171</t>
        </is>
      </c>
      <c r="C23" s="31" t="n">
        <v>1996</v>
      </c>
      <c r="D23" s="31" t="inlineStr">
        <is>
          <t>Katy</t>
        </is>
      </c>
      <c r="E23" s="31" t="inlineStr">
        <is>
          <t>TX</t>
        </is>
      </c>
      <c r="F23" s="31" t="inlineStr">
        <is>
          <t>77493</t>
        </is>
      </c>
      <c r="G23" s="31">
        <f>INDEX('Current List'!$L:$L,MATCH($B23,'Current List'!$A:$A,0))</f>
        <v/>
      </c>
      <c r="H23" s="31">
        <f>IF(INDEX('Current List'!$O:$O,MATCH($B23,'Current List'!$A:$A,0))=0,"TBD",INDEX('Current List'!$O:$O,MATCH($B23,'Current List'!$A:$A,0)))</f>
        <v/>
      </c>
      <c r="I23" s="31">
        <f>IF(OR(INDEX('Current List'!$R:$R,MATCH($B23,'Current List'!$A:$A,0))=0,INDEX('Current List'!$R:$R,MATCH($B23,'Current List'!$A:$A,0))="N/A"),"-",INDEX('Current List'!$R:$R,MATCH($B23,'Current List'!$A:$A,0)))</f>
        <v/>
      </c>
      <c r="J23" s="31">
        <f>INDEX('Current List'!$N:$N,MATCH($B23,'Current List'!$A:$A,0))</f>
        <v/>
      </c>
      <c r="K23" s="31">
        <f>IF(INDEX('Current List'!$S:$S,MATCH($B23,'Current List'!$A:$A,0))=0,"",INDEX('Current List'!$S:$S,MATCH($B23,'Current List'!$A:$A,0)))</f>
        <v/>
      </c>
      <c r="L23" s="31">
        <f>IFERROR(IF(ISNUMBER(K23),K23,VALUE(LEFT(K23,1))),Assumptions!$B$4)</f>
        <v/>
      </c>
      <c r="M23" s="31">
        <f>IF(K23="","TBD","Confirmed")</f>
        <v/>
      </c>
      <c r="N23" s="32">
        <f>INDEX('Current List'!$T:$T,MATCH($B23,'Current List'!$A:$A,0))</f>
        <v/>
      </c>
      <c r="O23" s="32">
        <f>WORKDAY(N23,-Assumptions!$B$5)</f>
        <v/>
      </c>
      <c r="P23" s="32">
        <f>WORKDAY(O23,-VLOOKUP(A23,Assumptions!$A$11:$B$16,2,FALSE))</f>
        <v/>
      </c>
      <c r="Q23" s="32">
        <f>P23-WEEKDAY(P23,3)</f>
        <v/>
      </c>
      <c r="R23" s="32">
        <f>INDEX('Current List'!$U:$U,MATCH($B23,'Current List'!$A:$A,0))</f>
        <v/>
      </c>
      <c r="S23" s="31">
        <f>TRIM(IF(J23&lt;&gt;"Approved","Layout not validated; ","")&amp;IF(M23="TBD","Config TBD (default units); ","")&amp;IF(H23="TBD","Labor TBD; ","")&amp;IF(A23="Outlier","Remote / out of route; ","")&amp;IF(A23="South TX","Long haul; ",""))</f>
        <v/>
      </c>
    </row>
    <row r="24">
      <c r="A24" s="31" t="inlineStr">
        <is>
          <t>Houston</t>
        </is>
      </c>
      <c r="B24" s="31" t="inlineStr">
        <is>
          <t>190024</t>
        </is>
      </c>
      <c r="C24" s="31" t="n">
        <v>10671</v>
      </c>
      <c r="D24" s="31" t="inlineStr">
        <is>
          <t>Richmond</t>
        </is>
      </c>
      <c r="E24" s="31" t="inlineStr">
        <is>
          <t>TX</t>
        </is>
      </c>
      <c r="F24" s="31" t="inlineStr">
        <is>
          <t>77407</t>
        </is>
      </c>
      <c r="G24" s="31">
        <f>INDEX('Current List'!$L:$L,MATCH($B24,'Current List'!$A:$A,0))</f>
        <v/>
      </c>
      <c r="H24" s="31">
        <f>IF(INDEX('Current List'!$O:$O,MATCH($B24,'Current List'!$A:$A,0))=0,"TBD",INDEX('Current List'!$O:$O,MATCH($B24,'Current List'!$A:$A,0)))</f>
        <v/>
      </c>
      <c r="I24" s="31">
        <f>IF(OR(INDEX('Current List'!$R:$R,MATCH($B24,'Current List'!$A:$A,0))=0,INDEX('Current List'!$R:$R,MATCH($B24,'Current List'!$A:$A,0))="N/A"),"-",INDEX('Current List'!$R:$R,MATCH($B24,'Current List'!$A:$A,0)))</f>
        <v/>
      </c>
      <c r="J24" s="31">
        <f>INDEX('Current List'!$N:$N,MATCH($B24,'Current List'!$A:$A,0))</f>
        <v/>
      </c>
      <c r="K24" s="31">
        <f>IF(INDEX('Current List'!$S:$S,MATCH($B24,'Current List'!$A:$A,0))=0,"",INDEX('Current List'!$S:$S,MATCH($B24,'Current List'!$A:$A,0)))</f>
        <v/>
      </c>
      <c r="L24" s="31">
        <f>IFERROR(IF(ISNUMBER(K24),K24,VALUE(LEFT(K24,1))),Assumptions!$B$4)</f>
        <v/>
      </c>
      <c r="M24" s="31">
        <f>IF(K24="","TBD","Confirmed")</f>
        <v/>
      </c>
      <c r="N24" s="32">
        <f>INDEX('Current List'!$T:$T,MATCH($B24,'Current List'!$A:$A,0))</f>
        <v/>
      </c>
      <c r="O24" s="32">
        <f>WORKDAY(N24,-Assumptions!$B$5)</f>
        <v/>
      </c>
      <c r="P24" s="32">
        <f>WORKDAY(O24,-VLOOKUP(A24,Assumptions!$A$11:$B$16,2,FALSE))</f>
        <v/>
      </c>
      <c r="Q24" s="32">
        <f>P24-WEEKDAY(P24,3)</f>
        <v/>
      </c>
      <c r="R24" s="32">
        <f>INDEX('Current List'!$U:$U,MATCH($B24,'Current List'!$A:$A,0))</f>
        <v/>
      </c>
      <c r="S24" s="31">
        <f>TRIM(IF(J24&lt;&gt;"Approved","Layout not validated; ","")&amp;IF(M24="TBD","Config TBD (default units); ","")&amp;IF(H24="TBD","Labor TBD; ","")&amp;IF(A24="Outlier","Remote / out of route; ","")&amp;IF(A24="South TX","Long haul; ",""))</f>
        <v/>
      </c>
    </row>
    <row r="25">
      <c r="A25" s="31" t="inlineStr">
        <is>
          <t>Houston</t>
        </is>
      </c>
      <c r="B25" s="31" t="inlineStr">
        <is>
          <t>190025</t>
        </is>
      </c>
      <c r="C25" s="31" t="n">
        <v>10637</v>
      </c>
      <c r="D25" s="31" t="inlineStr">
        <is>
          <t>Rosenberg</t>
        </is>
      </c>
      <c r="E25" s="31" t="inlineStr">
        <is>
          <t>TX</t>
        </is>
      </c>
      <c r="F25" s="31" t="inlineStr">
        <is>
          <t>77471</t>
        </is>
      </c>
      <c r="G25" s="31">
        <f>INDEX('Current List'!$L:$L,MATCH($B25,'Current List'!$A:$A,0))</f>
        <v/>
      </c>
      <c r="H25" s="31">
        <f>IF(INDEX('Current List'!$O:$O,MATCH($B25,'Current List'!$A:$A,0))=0,"TBD",INDEX('Current List'!$O:$O,MATCH($B25,'Current List'!$A:$A,0)))</f>
        <v/>
      </c>
      <c r="I25" s="31">
        <f>IF(OR(INDEX('Current List'!$R:$R,MATCH($B25,'Current List'!$A:$A,0))=0,INDEX('Current List'!$R:$R,MATCH($B25,'Current List'!$A:$A,0))="N/A"),"-",INDEX('Current List'!$R:$R,MATCH($B25,'Current List'!$A:$A,0)))</f>
        <v/>
      </c>
      <c r="J25" s="31">
        <f>INDEX('Current List'!$N:$N,MATCH($B25,'Current List'!$A:$A,0))</f>
        <v/>
      </c>
      <c r="K25" s="31">
        <f>IF(INDEX('Current List'!$S:$S,MATCH($B25,'Current List'!$A:$A,0))=0,"",INDEX('Current List'!$S:$S,MATCH($B25,'Current List'!$A:$A,0)))</f>
        <v/>
      </c>
      <c r="L25" s="31">
        <f>IFERROR(IF(ISNUMBER(K25),K25,VALUE(LEFT(K25,1))),Assumptions!$B$4)</f>
        <v/>
      </c>
      <c r="M25" s="31">
        <f>IF(K25="","TBD","Confirmed")</f>
        <v/>
      </c>
      <c r="N25" s="32">
        <f>INDEX('Current List'!$T:$T,MATCH($B25,'Current List'!$A:$A,0))</f>
        <v/>
      </c>
      <c r="O25" s="32">
        <f>WORKDAY(N25,-Assumptions!$B$5)</f>
        <v/>
      </c>
      <c r="P25" s="32">
        <f>WORKDAY(O25,-VLOOKUP(A25,Assumptions!$A$11:$B$16,2,FALSE))</f>
        <v/>
      </c>
      <c r="Q25" s="32">
        <f>P25-WEEKDAY(P25,3)</f>
        <v/>
      </c>
      <c r="R25" s="32">
        <f>INDEX('Current List'!$U:$U,MATCH($B25,'Current List'!$A:$A,0))</f>
        <v/>
      </c>
      <c r="S25" s="31">
        <f>TRIM(IF(J25&lt;&gt;"Approved","Layout not validated; ","")&amp;IF(M25="TBD","Config TBD (default units); ","")&amp;IF(H25="TBD","Labor TBD; ","")&amp;IF(A25="Outlier","Remote / out of route; ","")&amp;IF(A25="South TX","Long haul; ",""))</f>
        <v/>
      </c>
    </row>
    <row r="26">
      <c r="A26" s="31" t="inlineStr">
        <is>
          <t>Houston</t>
        </is>
      </c>
      <c r="B26" s="31" t="inlineStr">
        <is>
          <t>189419</t>
        </is>
      </c>
      <c r="C26" s="31" t="n">
        <v>5839</v>
      </c>
      <c r="D26" s="31" t="inlineStr">
        <is>
          <t>Cypress</t>
        </is>
      </c>
      <c r="E26" s="31" t="inlineStr">
        <is>
          <t>TX</t>
        </is>
      </c>
      <c r="F26" s="31" t="inlineStr">
        <is>
          <t>77433</t>
        </is>
      </c>
      <c r="G26" s="31">
        <f>INDEX('Current List'!$L:$L,MATCH($B26,'Current List'!$A:$A,0))</f>
        <v/>
      </c>
      <c r="H26" s="31">
        <f>IF(INDEX('Current List'!$O:$O,MATCH($B26,'Current List'!$A:$A,0))=0,"TBD",INDEX('Current List'!$O:$O,MATCH($B26,'Current List'!$A:$A,0)))</f>
        <v/>
      </c>
      <c r="I26" s="31">
        <f>IF(OR(INDEX('Current List'!$R:$R,MATCH($B26,'Current List'!$A:$A,0))=0,INDEX('Current List'!$R:$R,MATCH($B26,'Current List'!$A:$A,0))="N/A"),"-",INDEX('Current List'!$R:$R,MATCH($B26,'Current List'!$A:$A,0)))</f>
        <v/>
      </c>
      <c r="J26" s="31">
        <f>INDEX('Current List'!$N:$N,MATCH($B26,'Current List'!$A:$A,0))</f>
        <v/>
      </c>
      <c r="K26" s="31">
        <f>IF(INDEX('Current List'!$S:$S,MATCH($B26,'Current List'!$A:$A,0))=0,"",INDEX('Current List'!$S:$S,MATCH($B26,'Current List'!$A:$A,0)))</f>
        <v/>
      </c>
      <c r="L26" s="31">
        <f>IFERROR(IF(ISNUMBER(K26),K26,VALUE(LEFT(K26,1))),Assumptions!$B$4)</f>
        <v/>
      </c>
      <c r="M26" s="31">
        <f>IF(K26="","TBD","Confirmed")</f>
        <v/>
      </c>
      <c r="N26" s="32">
        <f>INDEX('Current List'!$T:$T,MATCH($B26,'Current List'!$A:$A,0))</f>
        <v/>
      </c>
      <c r="O26" s="32">
        <f>WORKDAY(N26,-Assumptions!$B$5)</f>
        <v/>
      </c>
      <c r="P26" s="32">
        <f>WORKDAY(O26,-VLOOKUP(A26,Assumptions!$A$11:$B$16,2,FALSE))</f>
        <v/>
      </c>
      <c r="Q26" s="32">
        <f>P26-WEEKDAY(P26,3)</f>
        <v/>
      </c>
      <c r="R26" s="32">
        <f>INDEX('Current List'!$U:$U,MATCH($B26,'Current List'!$A:$A,0))</f>
        <v/>
      </c>
      <c r="S26" s="31">
        <f>TRIM(IF(J26&lt;&gt;"Approved","Layout not validated; ","")&amp;IF(M26="TBD","Config TBD (default units); ","")&amp;IF(H26="TBD","Labor TBD; ","")&amp;IF(A26="Outlier","Remote / out of route; ","")&amp;IF(A26="South TX","Long haul; ",""))</f>
        <v/>
      </c>
    </row>
    <row r="27">
      <c r="A27" s="31" t="inlineStr">
        <is>
          <t>Houston</t>
        </is>
      </c>
      <c r="B27" s="31" t="inlineStr">
        <is>
          <t>189421</t>
        </is>
      </c>
      <c r="C27" s="31" t="n">
        <v>5884</v>
      </c>
      <c r="D27" s="31" t="inlineStr">
        <is>
          <t>Houston</t>
        </is>
      </c>
      <c r="E27" s="31" t="inlineStr">
        <is>
          <t>TX</t>
        </is>
      </c>
      <c r="F27" s="31" t="inlineStr">
        <is>
          <t>77072</t>
        </is>
      </c>
      <c r="G27" s="31">
        <f>INDEX('Current List'!$L:$L,MATCH($B27,'Current List'!$A:$A,0))</f>
        <v/>
      </c>
      <c r="H27" s="31">
        <f>IF(INDEX('Current List'!$O:$O,MATCH($B27,'Current List'!$A:$A,0))=0,"TBD",INDEX('Current List'!$O:$O,MATCH($B27,'Current List'!$A:$A,0)))</f>
        <v/>
      </c>
      <c r="I27" s="31">
        <f>IF(OR(INDEX('Current List'!$R:$R,MATCH($B27,'Current List'!$A:$A,0))=0,INDEX('Current List'!$R:$R,MATCH($B27,'Current List'!$A:$A,0))="N/A"),"-",INDEX('Current List'!$R:$R,MATCH($B27,'Current List'!$A:$A,0)))</f>
        <v/>
      </c>
      <c r="J27" s="31">
        <f>INDEX('Current List'!$N:$N,MATCH($B27,'Current List'!$A:$A,0))</f>
        <v/>
      </c>
      <c r="K27" s="31">
        <f>IF(INDEX('Current List'!$S:$S,MATCH($B27,'Current List'!$A:$A,0))=0,"",INDEX('Current List'!$S:$S,MATCH($B27,'Current List'!$A:$A,0)))</f>
        <v/>
      </c>
      <c r="L27" s="31">
        <f>IFERROR(IF(ISNUMBER(K27),K27,VALUE(LEFT(K27,1))),Assumptions!$B$4)</f>
        <v/>
      </c>
      <c r="M27" s="31">
        <f>IF(K27="","TBD","Confirmed")</f>
        <v/>
      </c>
      <c r="N27" s="32">
        <f>INDEX('Current List'!$T:$T,MATCH($B27,'Current List'!$A:$A,0))</f>
        <v/>
      </c>
      <c r="O27" s="32">
        <f>WORKDAY(N27,-Assumptions!$B$5)</f>
        <v/>
      </c>
      <c r="P27" s="32">
        <f>WORKDAY(O27,-VLOOKUP(A27,Assumptions!$A$11:$B$16,2,FALSE))</f>
        <v/>
      </c>
      <c r="Q27" s="32">
        <f>P27-WEEKDAY(P27,3)</f>
        <v/>
      </c>
      <c r="R27" s="32">
        <f>INDEX('Current List'!$U:$U,MATCH($B27,'Current List'!$A:$A,0))</f>
        <v/>
      </c>
      <c r="S27" s="31">
        <f>TRIM(IF(J27&lt;&gt;"Approved","Layout not validated; ","")&amp;IF(M27="TBD","Config TBD (default units); ","")&amp;IF(H27="TBD","Labor TBD; ","")&amp;IF(A27="Outlier","Remote / out of route; ","")&amp;IF(A27="South TX","Long haul; ",""))</f>
        <v/>
      </c>
    </row>
    <row r="28">
      <c r="A28" s="31" t="inlineStr">
        <is>
          <t>Houston</t>
        </is>
      </c>
      <c r="B28" s="31" t="inlineStr">
        <is>
          <t>189523</t>
        </is>
      </c>
      <c r="C28" s="31" t="n">
        <v>7805</v>
      </c>
      <c r="D28" s="31" t="inlineStr">
        <is>
          <t>Sugar Land</t>
        </is>
      </c>
      <c r="E28" s="31" t="inlineStr">
        <is>
          <t>TX</t>
        </is>
      </c>
      <c r="F28" s="31" t="inlineStr">
        <is>
          <t>77479</t>
        </is>
      </c>
      <c r="G28" s="31">
        <f>INDEX('Current List'!$L:$L,MATCH($B28,'Current List'!$A:$A,0))</f>
        <v/>
      </c>
      <c r="H28" s="31">
        <f>IF(INDEX('Current List'!$O:$O,MATCH($B28,'Current List'!$A:$A,0))=0,"TBD",INDEX('Current List'!$O:$O,MATCH($B28,'Current List'!$A:$A,0)))</f>
        <v/>
      </c>
      <c r="I28" s="31">
        <f>IF(OR(INDEX('Current List'!$R:$R,MATCH($B28,'Current List'!$A:$A,0))=0,INDEX('Current List'!$R:$R,MATCH($B28,'Current List'!$A:$A,0))="N/A"),"-",INDEX('Current List'!$R:$R,MATCH($B28,'Current List'!$A:$A,0)))</f>
        <v/>
      </c>
      <c r="J28" s="31">
        <f>INDEX('Current List'!$N:$N,MATCH($B28,'Current List'!$A:$A,0))</f>
        <v/>
      </c>
      <c r="K28" s="31">
        <f>IF(INDEX('Current List'!$S:$S,MATCH($B28,'Current List'!$A:$A,0))=0,"",INDEX('Current List'!$S:$S,MATCH($B28,'Current List'!$A:$A,0)))</f>
        <v/>
      </c>
      <c r="L28" s="31">
        <f>IFERROR(IF(ISNUMBER(K28),K28,VALUE(LEFT(K28,1))),Assumptions!$B$4)</f>
        <v/>
      </c>
      <c r="M28" s="31">
        <f>IF(K28="","TBD","Confirmed")</f>
        <v/>
      </c>
      <c r="N28" s="32">
        <f>INDEX('Current List'!$T:$T,MATCH($B28,'Current List'!$A:$A,0))</f>
        <v/>
      </c>
      <c r="O28" s="32">
        <f>WORKDAY(N28,-Assumptions!$B$5)</f>
        <v/>
      </c>
      <c r="P28" s="32">
        <f>WORKDAY(O28,-VLOOKUP(A28,Assumptions!$A$11:$B$16,2,FALSE))</f>
        <v/>
      </c>
      <c r="Q28" s="32">
        <f>P28-WEEKDAY(P28,3)</f>
        <v/>
      </c>
      <c r="R28" s="32">
        <f>INDEX('Current List'!$U:$U,MATCH($B28,'Current List'!$A:$A,0))</f>
        <v/>
      </c>
      <c r="S28" s="31">
        <f>TRIM(IF(J28&lt;&gt;"Approved","Layout not validated; ","")&amp;IF(M28="TBD","Config TBD (default units); ","")&amp;IF(H28="TBD","Labor TBD; ","")&amp;IF(A28="Outlier","Remote / out of route; ","")&amp;IF(A28="South TX","Long haul; ",""))</f>
        <v/>
      </c>
    </row>
    <row r="29">
      <c r="A29" s="31" t="inlineStr">
        <is>
          <t>Houston</t>
        </is>
      </c>
      <c r="B29" s="31" t="inlineStr">
        <is>
          <t>189279</t>
        </is>
      </c>
      <c r="C29" s="31" t="n">
        <v>3693</v>
      </c>
      <c r="D29" s="31" t="inlineStr">
        <is>
          <t>Houston</t>
        </is>
      </c>
      <c r="E29" s="31" t="inlineStr">
        <is>
          <t>TX</t>
        </is>
      </c>
      <c r="F29" s="31" t="inlineStr">
        <is>
          <t>77036</t>
        </is>
      </c>
      <c r="G29" s="31">
        <f>INDEX('Current List'!$L:$L,MATCH($B29,'Current List'!$A:$A,0))</f>
        <v/>
      </c>
      <c r="H29" s="31">
        <f>IF(INDEX('Current List'!$O:$O,MATCH($B29,'Current List'!$A:$A,0))=0,"TBD",INDEX('Current List'!$O:$O,MATCH($B29,'Current List'!$A:$A,0)))</f>
        <v/>
      </c>
      <c r="I29" s="31">
        <f>IF(OR(INDEX('Current List'!$R:$R,MATCH($B29,'Current List'!$A:$A,0))=0,INDEX('Current List'!$R:$R,MATCH($B29,'Current List'!$A:$A,0))="N/A"),"-",INDEX('Current List'!$R:$R,MATCH($B29,'Current List'!$A:$A,0)))</f>
        <v/>
      </c>
      <c r="J29" s="31">
        <f>INDEX('Current List'!$N:$N,MATCH($B29,'Current List'!$A:$A,0))</f>
        <v/>
      </c>
      <c r="K29" s="31">
        <f>IF(INDEX('Current List'!$S:$S,MATCH($B29,'Current List'!$A:$A,0))=0,"",INDEX('Current List'!$S:$S,MATCH($B29,'Current List'!$A:$A,0)))</f>
        <v/>
      </c>
      <c r="L29" s="31">
        <f>IFERROR(IF(ISNUMBER(K29),K29,VALUE(LEFT(K29,1))),Assumptions!$B$4)</f>
        <v/>
      </c>
      <c r="M29" s="31">
        <f>IF(K29="","TBD","Confirmed")</f>
        <v/>
      </c>
      <c r="N29" s="32">
        <f>INDEX('Current List'!$T:$T,MATCH($B29,'Current List'!$A:$A,0))</f>
        <v/>
      </c>
      <c r="O29" s="32">
        <f>WORKDAY(N29,-Assumptions!$B$5)</f>
        <v/>
      </c>
      <c r="P29" s="32">
        <f>WORKDAY(O29,-VLOOKUP(A29,Assumptions!$A$11:$B$16,2,FALSE))</f>
        <v/>
      </c>
      <c r="Q29" s="32">
        <f>P29-WEEKDAY(P29,3)</f>
        <v/>
      </c>
      <c r="R29" s="32">
        <f>INDEX('Current List'!$U:$U,MATCH($B29,'Current List'!$A:$A,0))</f>
        <v/>
      </c>
      <c r="S29" s="31">
        <f>TRIM(IF(J29&lt;&gt;"Approved","Layout not validated; ","")&amp;IF(M29="TBD","Config TBD (default units); ","")&amp;IF(H29="TBD","Labor TBD; ","")&amp;IF(A29="Outlier","Remote / out of route; ","")&amp;IF(A29="South TX","Long haul; ",""))</f>
        <v/>
      </c>
    </row>
    <row r="30">
      <c r="A30" s="31" t="inlineStr">
        <is>
          <t>Houston</t>
        </is>
      </c>
      <c r="B30" s="31" t="inlineStr">
        <is>
          <t>189322</t>
        </is>
      </c>
      <c r="C30" s="31" t="n">
        <v>4474</v>
      </c>
      <c r="D30" s="31" t="inlineStr">
        <is>
          <t>Missouri City</t>
        </is>
      </c>
      <c r="E30" s="31" t="inlineStr">
        <is>
          <t>TX</t>
        </is>
      </c>
      <c r="F30" s="31" t="inlineStr">
        <is>
          <t>77459</t>
        </is>
      </c>
      <c r="G30" s="31">
        <f>INDEX('Current List'!$L:$L,MATCH($B30,'Current List'!$A:$A,0))</f>
        <v/>
      </c>
      <c r="H30" s="31">
        <f>IF(INDEX('Current List'!$O:$O,MATCH($B30,'Current List'!$A:$A,0))=0,"TBD",INDEX('Current List'!$O:$O,MATCH($B30,'Current List'!$A:$A,0)))</f>
        <v/>
      </c>
      <c r="I30" s="31">
        <f>IF(OR(INDEX('Current List'!$R:$R,MATCH($B30,'Current List'!$A:$A,0))=0,INDEX('Current List'!$R:$R,MATCH($B30,'Current List'!$A:$A,0))="N/A"),"-",INDEX('Current List'!$R:$R,MATCH($B30,'Current List'!$A:$A,0)))</f>
        <v/>
      </c>
      <c r="J30" s="31">
        <f>INDEX('Current List'!$N:$N,MATCH($B30,'Current List'!$A:$A,0))</f>
        <v/>
      </c>
      <c r="K30" s="31">
        <f>IF(INDEX('Current List'!$S:$S,MATCH($B30,'Current List'!$A:$A,0))=0,"",INDEX('Current List'!$S:$S,MATCH($B30,'Current List'!$A:$A,0)))</f>
        <v/>
      </c>
      <c r="L30" s="31">
        <f>IFERROR(IF(ISNUMBER(K30),K30,VALUE(LEFT(K30,1))),Assumptions!$B$4)</f>
        <v/>
      </c>
      <c r="M30" s="31">
        <f>IF(K30="","TBD","Confirmed")</f>
        <v/>
      </c>
      <c r="N30" s="32">
        <f>INDEX('Current List'!$T:$T,MATCH($B30,'Current List'!$A:$A,0))</f>
        <v/>
      </c>
      <c r="O30" s="32">
        <f>WORKDAY(N30,-Assumptions!$B$5)</f>
        <v/>
      </c>
      <c r="P30" s="32">
        <f>WORKDAY(O30,-VLOOKUP(A30,Assumptions!$A$11:$B$16,2,FALSE))</f>
        <v/>
      </c>
      <c r="Q30" s="32">
        <f>P30-WEEKDAY(P30,3)</f>
        <v/>
      </c>
      <c r="R30" s="32">
        <f>INDEX('Current List'!$U:$U,MATCH($B30,'Current List'!$A:$A,0))</f>
        <v/>
      </c>
      <c r="S30" s="31">
        <f>TRIM(IF(J30&lt;&gt;"Approved","Layout not validated; ","")&amp;IF(M30="TBD","Config TBD (default units); ","")&amp;IF(H30="TBD","Labor TBD; ","")&amp;IF(A30="Outlier","Remote / out of route; ","")&amp;IF(A30="South TX","Long haul; ",""))</f>
        <v/>
      </c>
    </row>
    <row r="31">
      <c r="A31" s="31" t="inlineStr">
        <is>
          <t>Houston</t>
        </is>
      </c>
      <c r="B31" s="31" t="inlineStr">
        <is>
          <t>190021</t>
        </is>
      </c>
      <c r="C31" s="31" t="n">
        <v>10664</v>
      </c>
      <c r="D31" s="31" t="inlineStr">
        <is>
          <t>Montgomery</t>
        </is>
      </c>
      <c r="E31" s="31" t="inlineStr">
        <is>
          <t>TX</t>
        </is>
      </c>
      <c r="F31" s="31" t="inlineStr">
        <is>
          <t>77316</t>
        </is>
      </c>
      <c r="G31" s="31">
        <f>INDEX('Current List'!$L:$L,MATCH($B31,'Current List'!$A:$A,0))</f>
        <v/>
      </c>
      <c r="H31" s="31">
        <f>IF(INDEX('Current List'!$O:$O,MATCH($B31,'Current List'!$A:$A,0))=0,"TBD",INDEX('Current List'!$O:$O,MATCH($B31,'Current List'!$A:$A,0)))</f>
        <v/>
      </c>
      <c r="I31" s="31">
        <f>IF(OR(INDEX('Current List'!$R:$R,MATCH($B31,'Current List'!$A:$A,0))=0,INDEX('Current List'!$R:$R,MATCH($B31,'Current List'!$A:$A,0))="N/A"),"-",INDEX('Current List'!$R:$R,MATCH($B31,'Current List'!$A:$A,0)))</f>
        <v/>
      </c>
      <c r="J31" s="31">
        <f>INDEX('Current List'!$N:$N,MATCH($B31,'Current List'!$A:$A,0))</f>
        <v/>
      </c>
      <c r="K31" s="31">
        <f>IF(INDEX('Current List'!$S:$S,MATCH($B31,'Current List'!$A:$A,0))=0,"",INDEX('Current List'!$S:$S,MATCH($B31,'Current List'!$A:$A,0)))</f>
        <v/>
      </c>
      <c r="L31" s="31">
        <f>IFERROR(IF(ISNUMBER(K31),K31,VALUE(LEFT(K31,1))),Assumptions!$B$4)</f>
        <v/>
      </c>
      <c r="M31" s="31">
        <f>IF(K31="","TBD","Confirmed")</f>
        <v/>
      </c>
      <c r="N31" s="32">
        <f>INDEX('Current List'!$T:$T,MATCH($B31,'Current List'!$A:$A,0))</f>
        <v/>
      </c>
      <c r="O31" s="32">
        <f>WORKDAY(N31,-Assumptions!$B$5)</f>
        <v/>
      </c>
      <c r="P31" s="32">
        <f>WORKDAY(O31,-VLOOKUP(A31,Assumptions!$A$11:$B$16,2,FALSE))</f>
        <v/>
      </c>
      <c r="Q31" s="32">
        <f>P31-WEEKDAY(P31,3)</f>
        <v/>
      </c>
      <c r="R31" s="32">
        <f>INDEX('Current List'!$U:$U,MATCH($B31,'Current List'!$A:$A,0))</f>
        <v/>
      </c>
      <c r="S31" s="31">
        <f>TRIM(IF(J31&lt;&gt;"Approved","Layout not validated; ","")&amp;IF(M31="TBD","Config TBD (default units); ","")&amp;IF(H31="TBD","Labor TBD; ","")&amp;IF(A31="Outlier","Remote / out of route; ","")&amp;IF(A31="South TX","Long haul; ",""))</f>
        <v/>
      </c>
    </row>
    <row r="32">
      <c r="A32" s="31" t="inlineStr">
        <is>
          <t>Houston</t>
        </is>
      </c>
      <c r="B32" s="31" t="inlineStr">
        <is>
          <t>189516</t>
        </is>
      </c>
      <c r="C32" s="31" t="n">
        <v>7448</v>
      </c>
      <c r="D32" s="31" t="inlineStr">
        <is>
          <t>Tomball</t>
        </is>
      </c>
      <c r="E32" s="31" t="inlineStr">
        <is>
          <t>TX</t>
        </is>
      </c>
      <c r="F32" s="31" t="inlineStr">
        <is>
          <t>77375</t>
        </is>
      </c>
      <c r="G32" s="31">
        <f>INDEX('Current List'!$L:$L,MATCH($B32,'Current List'!$A:$A,0))</f>
        <v/>
      </c>
      <c r="H32" s="31">
        <f>IF(INDEX('Current List'!$O:$O,MATCH($B32,'Current List'!$A:$A,0))=0,"TBD",INDEX('Current List'!$O:$O,MATCH($B32,'Current List'!$A:$A,0)))</f>
        <v/>
      </c>
      <c r="I32" s="31">
        <f>IF(OR(INDEX('Current List'!$R:$R,MATCH($B32,'Current List'!$A:$A,0))=0,INDEX('Current List'!$R:$R,MATCH($B32,'Current List'!$A:$A,0))="N/A"),"-",INDEX('Current List'!$R:$R,MATCH($B32,'Current List'!$A:$A,0)))</f>
        <v/>
      </c>
      <c r="J32" s="31">
        <f>INDEX('Current List'!$N:$N,MATCH($B32,'Current List'!$A:$A,0))</f>
        <v/>
      </c>
      <c r="K32" s="31">
        <f>IF(INDEX('Current List'!$S:$S,MATCH($B32,'Current List'!$A:$A,0))=0,"",INDEX('Current List'!$S:$S,MATCH($B32,'Current List'!$A:$A,0)))</f>
        <v/>
      </c>
      <c r="L32" s="31">
        <f>IFERROR(IF(ISNUMBER(K32),K32,VALUE(LEFT(K32,1))),Assumptions!$B$4)</f>
        <v/>
      </c>
      <c r="M32" s="31">
        <f>IF(K32="","TBD","Confirmed")</f>
        <v/>
      </c>
      <c r="N32" s="32">
        <f>INDEX('Current List'!$T:$T,MATCH($B32,'Current List'!$A:$A,0))</f>
        <v/>
      </c>
      <c r="O32" s="32">
        <f>WORKDAY(N32,-Assumptions!$B$5)</f>
        <v/>
      </c>
      <c r="P32" s="32">
        <f>WORKDAY(O32,-VLOOKUP(A32,Assumptions!$A$11:$B$16,2,FALSE))</f>
        <v/>
      </c>
      <c r="Q32" s="32">
        <f>P32-WEEKDAY(P32,3)</f>
        <v/>
      </c>
      <c r="R32" s="32">
        <f>INDEX('Current List'!$U:$U,MATCH($B32,'Current List'!$A:$A,0))</f>
        <v/>
      </c>
      <c r="S32" s="31">
        <f>TRIM(IF(J32&lt;&gt;"Approved","Layout not validated; ","")&amp;IF(M32="TBD","Config TBD (default units); ","")&amp;IF(H32="TBD","Labor TBD; ","")&amp;IF(A32="Outlier","Remote / out of route; ","")&amp;IF(A32="South TX","Long haul; ",""))</f>
        <v/>
      </c>
    </row>
    <row r="33">
      <c r="A33" s="31" t="inlineStr">
        <is>
          <t>Houston</t>
        </is>
      </c>
      <c r="B33" s="31" t="inlineStr">
        <is>
          <t>189519</t>
        </is>
      </c>
      <c r="C33" s="31" t="n">
        <v>7476</v>
      </c>
      <c r="D33" s="31" t="inlineStr">
        <is>
          <t>Houston</t>
        </is>
      </c>
      <c r="E33" s="31" t="inlineStr">
        <is>
          <t>TX</t>
        </is>
      </c>
      <c r="F33" s="31" t="inlineStr">
        <is>
          <t>77007</t>
        </is>
      </c>
      <c r="G33" s="31">
        <f>INDEX('Current List'!$L:$L,MATCH($B33,'Current List'!$A:$A,0))</f>
        <v/>
      </c>
      <c r="H33" s="31">
        <f>IF(INDEX('Current List'!$O:$O,MATCH($B33,'Current List'!$A:$A,0))=0,"TBD",INDEX('Current List'!$O:$O,MATCH($B33,'Current List'!$A:$A,0)))</f>
        <v/>
      </c>
      <c r="I33" s="31">
        <f>IF(OR(INDEX('Current List'!$R:$R,MATCH($B33,'Current List'!$A:$A,0))=0,INDEX('Current List'!$R:$R,MATCH($B33,'Current List'!$A:$A,0))="N/A"),"-",INDEX('Current List'!$R:$R,MATCH($B33,'Current List'!$A:$A,0)))</f>
        <v/>
      </c>
      <c r="J33" s="31">
        <f>INDEX('Current List'!$N:$N,MATCH($B33,'Current List'!$A:$A,0))</f>
        <v/>
      </c>
      <c r="K33" s="31">
        <f>IF(INDEX('Current List'!$S:$S,MATCH($B33,'Current List'!$A:$A,0))=0,"",INDEX('Current List'!$S:$S,MATCH($B33,'Current List'!$A:$A,0)))</f>
        <v/>
      </c>
      <c r="L33" s="31">
        <f>IFERROR(IF(ISNUMBER(K33),K33,VALUE(LEFT(K33,1))),Assumptions!$B$4)</f>
        <v/>
      </c>
      <c r="M33" s="31">
        <f>IF(K33="","TBD","Confirmed")</f>
        <v/>
      </c>
      <c r="N33" s="32">
        <f>INDEX('Current List'!$T:$T,MATCH($B33,'Current List'!$A:$A,0))</f>
        <v/>
      </c>
      <c r="O33" s="32">
        <f>WORKDAY(N33,-Assumptions!$B$5)</f>
        <v/>
      </c>
      <c r="P33" s="32">
        <f>WORKDAY(O33,-VLOOKUP(A33,Assumptions!$A$11:$B$16,2,FALSE))</f>
        <v/>
      </c>
      <c r="Q33" s="32">
        <f>P33-WEEKDAY(P33,3)</f>
        <v/>
      </c>
      <c r="R33" s="32">
        <f>INDEX('Current List'!$U:$U,MATCH($B33,'Current List'!$A:$A,0))</f>
        <v/>
      </c>
      <c r="S33" s="31">
        <f>TRIM(IF(J33&lt;&gt;"Approved","Layout not validated; ","")&amp;IF(M33="TBD","Config TBD (default units); ","")&amp;IF(H33="TBD","Labor TBD; ","")&amp;IF(A33="Outlier","Remote / out of route; ","")&amp;IF(A33="South TX","Long haul; ",""))</f>
        <v/>
      </c>
    </row>
    <row r="34">
      <c r="A34" s="31" t="inlineStr">
        <is>
          <t>Houston</t>
        </is>
      </c>
      <c r="B34" s="31" t="inlineStr">
        <is>
          <t>189471</t>
        </is>
      </c>
      <c r="C34" s="31" t="n">
        <v>6655</v>
      </c>
      <c r="D34" s="31" t="inlineStr">
        <is>
          <t>Huntsville</t>
        </is>
      </c>
      <c r="E34" s="31" t="inlineStr">
        <is>
          <t>TX</t>
        </is>
      </c>
      <c r="F34" s="31" t="inlineStr">
        <is>
          <t>77340</t>
        </is>
      </c>
      <c r="G34" s="31">
        <f>INDEX('Current List'!$L:$L,MATCH($B34,'Current List'!$A:$A,0))</f>
        <v/>
      </c>
      <c r="H34" s="31">
        <f>IF(INDEX('Current List'!$O:$O,MATCH($B34,'Current List'!$A:$A,0))=0,"TBD",INDEX('Current List'!$O:$O,MATCH($B34,'Current List'!$A:$A,0)))</f>
        <v/>
      </c>
      <c r="I34" s="31">
        <f>IF(OR(INDEX('Current List'!$R:$R,MATCH($B34,'Current List'!$A:$A,0))=0,INDEX('Current List'!$R:$R,MATCH($B34,'Current List'!$A:$A,0))="N/A"),"-",INDEX('Current List'!$R:$R,MATCH($B34,'Current List'!$A:$A,0)))</f>
        <v/>
      </c>
      <c r="J34" s="31">
        <f>INDEX('Current List'!$N:$N,MATCH($B34,'Current List'!$A:$A,0))</f>
        <v/>
      </c>
      <c r="K34" s="31">
        <f>IF(INDEX('Current List'!$S:$S,MATCH($B34,'Current List'!$A:$A,0))=0,"",INDEX('Current List'!$S:$S,MATCH($B34,'Current List'!$A:$A,0)))</f>
        <v/>
      </c>
      <c r="L34" s="31">
        <f>IFERROR(IF(ISNUMBER(K34),K34,VALUE(LEFT(K34,1))),Assumptions!$B$4)</f>
        <v/>
      </c>
      <c r="M34" s="31">
        <f>IF(K34="","TBD","Confirmed")</f>
        <v/>
      </c>
      <c r="N34" s="32">
        <f>INDEX('Current List'!$T:$T,MATCH($B34,'Current List'!$A:$A,0))</f>
        <v/>
      </c>
      <c r="O34" s="32">
        <f>WORKDAY(N34,-Assumptions!$B$5)</f>
        <v/>
      </c>
      <c r="P34" s="32">
        <f>WORKDAY(O34,-VLOOKUP(A34,Assumptions!$A$11:$B$16,2,FALSE))</f>
        <v/>
      </c>
      <c r="Q34" s="32">
        <f>P34-WEEKDAY(P34,3)</f>
        <v/>
      </c>
      <c r="R34" s="32">
        <f>INDEX('Current List'!$U:$U,MATCH($B34,'Current List'!$A:$A,0))</f>
        <v/>
      </c>
      <c r="S34" s="31">
        <f>TRIM(IF(J34&lt;&gt;"Approved","Layout not validated; ","")&amp;IF(M34="TBD","Config TBD (default units); ","")&amp;IF(H34="TBD","Labor TBD; ","")&amp;IF(A34="Outlier","Remote / out of route; ","")&amp;IF(A34="South TX","Long haul; ",""))</f>
        <v/>
      </c>
    </row>
    <row r="35">
      <c r="A35" s="31" t="inlineStr">
        <is>
          <t>Houston</t>
        </is>
      </c>
      <c r="B35" s="31" t="inlineStr">
        <is>
          <t>189927</t>
        </is>
      </c>
      <c r="C35" s="31" t="n">
        <v>10177</v>
      </c>
      <c r="D35" s="31" t="inlineStr">
        <is>
          <t>Katy</t>
        </is>
      </c>
      <c r="E35" s="31" t="inlineStr">
        <is>
          <t>TX</t>
        </is>
      </c>
      <c r="F35" s="31" t="inlineStr">
        <is>
          <t>77494</t>
        </is>
      </c>
      <c r="G35" s="31">
        <f>INDEX('Current List'!$L:$L,MATCH($B35,'Current List'!$A:$A,0))</f>
        <v/>
      </c>
      <c r="H35" s="31">
        <f>IF(INDEX('Current List'!$O:$O,MATCH($B35,'Current List'!$A:$A,0))=0,"TBD",INDEX('Current List'!$O:$O,MATCH($B35,'Current List'!$A:$A,0)))</f>
        <v/>
      </c>
      <c r="I35" s="31">
        <f>IF(OR(INDEX('Current List'!$R:$R,MATCH($B35,'Current List'!$A:$A,0))=0,INDEX('Current List'!$R:$R,MATCH($B35,'Current List'!$A:$A,0))="N/A"),"-",INDEX('Current List'!$R:$R,MATCH($B35,'Current List'!$A:$A,0)))</f>
        <v/>
      </c>
      <c r="J35" s="31">
        <f>INDEX('Current List'!$N:$N,MATCH($B35,'Current List'!$A:$A,0))</f>
        <v/>
      </c>
      <c r="K35" s="31">
        <f>IF(INDEX('Current List'!$S:$S,MATCH($B35,'Current List'!$A:$A,0))=0,"",INDEX('Current List'!$S:$S,MATCH($B35,'Current List'!$A:$A,0)))</f>
        <v/>
      </c>
      <c r="L35" s="31">
        <f>IFERROR(IF(ISNUMBER(K35),K35,VALUE(LEFT(K35,1))),Assumptions!$B$4)</f>
        <v/>
      </c>
      <c r="M35" s="31">
        <f>IF(K35="","TBD","Confirmed")</f>
        <v/>
      </c>
      <c r="N35" s="32">
        <f>INDEX('Current List'!$T:$T,MATCH($B35,'Current List'!$A:$A,0))</f>
        <v/>
      </c>
      <c r="O35" s="32">
        <f>WORKDAY(N35,-Assumptions!$B$5)</f>
        <v/>
      </c>
      <c r="P35" s="32">
        <f>WORKDAY(O35,-VLOOKUP(A35,Assumptions!$A$11:$B$16,2,FALSE))</f>
        <v/>
      </c>
      <c r="Q35" s="32">
        <f>P35-WEEKDAY(P35,3)</f>
        <v/>
      </c>
      <c r="R35" s="32">
        <f>INDEX('Current List'!$U:$U,MATCH($B35,'Current List'!$A:$A,0))</f>
        <v/>
      </c>
      <c r="S35" s="31">
        <f>TRIM(IF(J35&lt;&gt;"Approved","Layout not validated; ","")&amp;IF(M35="TBD","Config TBD (default units); ","")&amp;IF(H35="TBD","Labor TBD; ","")&amp;IF(A35="Outlier","Remote / out of route; ","")&amp;IF(A35="South TX","Long haul; ",""))</f>
        <v/>
      </c>
    </row>
    <row r="36">
      <c r="A36" s="31" t="inlineStr">
        <is>
          <t>Houston</t>
        </is>
      </c>
      <c r="B36" s="31" t="inlineStr">
        <is>
          <t>189424</t>
        </is>
      </c>
      <c r="C36" s="31" t="n">
        <v>5972</v>
      </c>
      <c r="D36" s="31" t="inlineStr">
        <is>
          <t>Rosenberg</t>
        </is>
      </c>
      <c r="E36" s="31" t="inlineStr">
        <is>
          <t>TX</t>
        </is>
      </c>
      <c r="F36" s="31" t="inlineStr">
        <is>
          <t>77471</t>
        </is>
      </c>
      <c r="G36" s="31">
        <f>INDEX('Current List'!$L:$L,MATCH($B36,'Current List'!$A:$A,0))</f>
        <v/>
      </c>
      <c r="H36" s="31">
        <f>IF(INDEX('Current List'!$O:$O,MATCH($B36,'Current List'!$A:$A,0))=0,"TBD",INDEX('Current List'!$O:$O,MATCH($B36,'Current List'!$A:$A,0)))</f>
        <v/>
      </c>
      <c r="I36" s="31">
        <f>IF(OR(INDEX('Current List'!$R:$R,MATCH($B36,'Current List'!$A:$A,0))=0,INDEX('Current List'!$R:$R,MATCH($B36,'Current List'!$A:$A,0))="N/A"),"-",INDEX('Current List'!$R:$R,MATCH($B36,'Current List'!$A:$A,0)))</f>
        <v/>
      </c>
      <c r="J36" s="31">
        <f>INDEX('Current List'!$N:$N,MATCH($B36,'Current List'!$A:$A,0))</f>
        <v/>
      </c>
      <c r="K36" s="31">
        <f>IF(INDEX('Current List'!$S:$S,MATCH($B36,'Current List'!$A:$A,0))=0,"",INDEX('Current List'!$S:$S,MATCH($B36,'Current List'!$A:$A,0)))</f>
        <v/>
      </c>
      <c r="L36" s="31">
        <f>IFERROR(IF(ISNUMBER(K36),K36,VALUE(LEFT(K36,1))),Assumptions!$B$4)</f>
        <v/>
      </c>
      <c r="M36" s="31">
        <f>IF(K36="","TBD","Confirmed")</f>
        <v/>
      </c>
      <c r="N36" s="32">
        <f>INDEX('Current List'!$T:$T,MATCH($B36,'Current List'!$A:$A,0))</f>
        <v/>
      </c>
      <c r="O36" s="32">
        <f>WORKDAY(N36,-Assumptions!$B$5)</f>
        <v/>
      </c>
      <c r="P36" s="32">
        <f>WORKDAY(O36,-VLOOKUP(A36,Assumptions!$A$11:$B$16,2,FALSE))</f>
        <v/>
      </c>
      <c r="Q36" s="32">
        <f>P36-WEEKDAY(P36,3)</f>
        <v/>
      </c>
      <c r="R36" s="32">
        <f>INDEX('Current List'!$U:$U,MATCH($B36,'Current List'!$A:$A,0))</f>
        <v/>
      </c>
      <c r="S36" s="31">
        <f>TRIM(IF(J36&lt;&gt;"Approved","Layout not validated; ","")&amp;IF(M36="TBD","Config TBD (default units); ","")&amp;IF(H36="TBD","Labor TBD; ","")&amp;IF(A36="Outlier","Remote / out of route; ","")&amp;IF(A36="South TX","Long haul; ",""))</f>
        <v/>
      </c>
    </row>
    <row r="37">
      <c r="A37" s="31" t="inlineStr">
        <is>
          <t>Houston</t>
        </is>
      </c>
      <c r="B37" s="31" t="inlineStr">
        <is>
          <t>189979</t>
        </is>
      </c>
      <c r="C37" s="31" t="n">
        <v>10350</v>
      </c>
      <c r="D37" s="31" t="inlineStr">
        <is>
          <t>Sugar Land</t>
        </is>
      </c>
      <c r="E37" s="31" t="inlineStr">
        <is>
          <t>TX</t>
        </is>
      </c>
      <c r="F37" s="31" t="inlineStr">
        <is>
          <t>77479</t>
        </is>
      </c>
      <c r="G37" s="31">
        <f>INDEX('Current List'!$L:$L,MATCH($B37,'Current List'!$A:$A,0))</f>
        <v/>
      </c>
      <c r="H37" s="31">
        <f>IF(INDEX('Current List'!$O:$O,MATCH($B37,'Current List'!$A:$A,0))=0,"TBD",INDEX('Current List'!$O:$O,MATCH($B37,'Current List'!$A:$A,0)))</f>
        <v/>
      </c>
      <c r="I37" s="31">
        <f>IF(OR(INDEX('Current List'!$R:$R,MATCH($B37,'Current List'!$A:$A,0))=0,INDEX('Current List'!$R:$R,MATCH($B37,'Current List'!$A:$A,0))="N/A"),"-",INDEX('Current List'!$R:$R,MATCH($B37,'Current List'!$A:$A,0)))</f>
        <v/>
      </c>
      <c r="J37" s="31">
        <f>INDEX('Current List'!$N:$N,MATCH($B37,'Current List'!$A:$A,0))</f>
        <v/>
      </c>
      <c r="K37" s="31">
        <f>IF(INDEX('Current List'!$S:$S,MATCH($B37,'Current List'!$A:$A,0))=0,"",INDEX('Current List'!$S:$S,MATCH($B37,'Current List'!$A:$A,0)))</f>
        <v/>
      </c>
      <c r="L37" s="31">
        <f>IFERROR(IF(ISNUMBER(K37),K37,VALUE(LEFT(K37,1))),Assumptions!$B$4)</f>
        <v/>
      </c>
      <c r="M37" s="31">
        <f>IF(K37="","TBD","Confirmed")</f>
        <v/>
      </c>
      <c r="N37" s="32">
        <f>INDEX('Current List'!$T:$T,MATCH($B37,'Current List'!$A:$A,0))</f>
        <v/>
      </c>
      <c r="O37" s="32">
        <f>WORKDAY(N37,-Assumptions!$B$5)</f>
        <v/>
      </c>
      <c r="P37" s="32">
        <f>WORKDAY(O37,-VLOOKUP(A37,Assumptions!$A$11:$B$16,2,FALSE))</f>
        <v/>
      </c>
      <c r="Q37" s="32">
        <f>P37-WEEKDAY(P37,3)</f>
        <v/>
      </c>
      <c r="R37" s="32">
        <f>INDEX('Current List'!$U:$U,MATCH($B37,'Current List'!$A:$A,0))</f>
        <v/>
      </c>
      <c r="S37" s="31">
        <f>TRIM(IF(J37&lt;&gt;"Approved","Layout not validated; ","")&amp;IF(M37="TBD","Config TBD (default units); ","")&amp;IF(H37="TBD","Labor TBD; ","")&amp;IF(A37="Outlier","Remote / out of route; ","")&amp;IF(A37="South TX","Long haul; ",""))</f>
        <v/>
      </c>
    </row>
    <row r="38">
      <c r="A38" s="31" t="inlineStr">
        <is>
          <t>Houston</t>
        </is>
      </c>
      <c r="B38" s="31" t="inlineStr">
        <is>
          <t>189521</t>
        </is>
      </c>
      <c r="C38" s="31" t="n">
        <v>7475</v>
      </c>
      <c r="D38" s="31" t="inlineStr">
        <is>
          <t>Kingwood</t>
        </is>
      </c>
      <c r="E38" s="31" t="inlineStr">
        <is>
          <t>TX</t>
        </is>
      </c>
      <c r="F38" s="31" t="inlineStr">
        <is>
          <t>77339</t>
        </is>
      </c>
      <c r="G38" s="31">
        <f>INDEX('Current List'!$L:$L,MATCH($B38,'Current List'!$A:$A,0))</f>
        <v/>
      </c>
      <c r="H38" s="31">
        <f>IF(INDEX('Current List'!$O:$O,MATCH($B38,'Current List'!$A:$A,0))=0,"TBD",INDEX('Current List'!$O:$O,MATCH($B38,'Current List'!$A:$A,0)))</f>
        <v/>
      </c>
      <c r="I38" s="31">
        <f>IF(OR(INDEX('Current List'!$R:$R,MATCH($B38,'Current List'!$A:$A,0))=0,INDEX('Current List'!$R:$R,MATCH($B38,'Current List'!$A:$A,0))="N/A"),"-",INDEX('Current List'!$R:$R,MATCH($B38,'Current List'!$A:$A,0)))</f>
        <v/>
      </c>
      <c r="J38" s="31">
        <f>INDEX('Current List'!$N:$N,MATCH($B38,'Current List'!$A:$A,0))</f>
        <v/>
      </c>
      <c r="K38" s="31">
        <f>IF(INDEX('Current List'!$S:$S,MATCH($B38,'Current List'!$A:$A,0))=0,"",INDEX('Current List'!$S:$S,MATCH($B38,'Current List'!$A:$A,0)))</f>
        <v/>
      </c>
      <c r="L38" s="31">
        <f>IFERROR(IF(ISNUMBER(K38),K38,VALUE(LEFT(K38,1))),Assumptions!$B$4)</f>
        <v/>
      </c>
      <c r="M38" s="31">
        <f>IF(K38="","TBD","Confirmed")</f>
        <v/>
      </c>
      <c r="N38" s="32">
        <f>INDEX('Current List'!$T:$T,MATCH($B38,'Current List'!$A:$A,0))</f>
        <v/>
      </c>
      <c r="O38" s="32">
        <f>WORKDAY(N38,-Assumptions!$B$5)</f>
        <v/>
      </c>
      <c r="P38" s="32">
        <f>WORKDAY(O38,-VLOOKUP(A38,Assumptions!$A$11:$B$16,2,FALSE))</f>
        <v/>
      </c>
      <c r="Q38" s="32">
        <f>P38-WEEKDAY(P38,3)</f>
        <v/>
      </c>
      <c r="R38" s="32">
        <f>INDEX('Current List'!$U:$U,MATCH($B38,'Current List'!$A:$A,0))</f>
        <v/>
      </c>
      <c r="S38" s="31">
        <f>TRIM(IF(J38&lt;&gt;"Approved","Layout not validated; ","")&amp;IF(M38="TBD","Config TBD (default units); ","")&amp;IF(H38="TBD","Labor TBD; ","")&amp;IF(A38="Outlier","Remote / out of route; ","")&amp;IF(A38="South TX","Long haul; ",""))</f>
        <v/>
      </c>
    </row>
    <row r="39">
      <c r="A39" s="31" t="inlineStr">
        <is>
          <t>Houston</t>
        </is>
      </c>
      <c r="B39" s="31" t="inlineStr">
        <is>
          <t>189423</t>
        </is>
      </c>
      <c r="C39" s="31" t="n">
        <v>5519</v>
      </c>
      <c r="D39" s="31" t="inlineStr">
        <is>
          <t>League City</t>
        </is>
      </c>
      <c r="E39" s="31" t="inlineStr">
        <is>
          <t>TX</t>
        </is>
      </c>
      <c r="F39" s="31" t="inlineStr">
        <is>
          <t>77573</t>
        </is>
      </c>
      <c r="G39" s="31">
        <f>INDEX('Current List'!$L:$L,MATCH($B39,'Current List'!$A:$A,0))</f>
        <v/>
      </c>
      <c r="H39" s="31">
        <f>IF(INDEX('Current List'!$O:$O,MATCH($B39,'Current List'!$A:$A,0))=0,"TBD",INDEX('Current List'!$O:$O,MATCH($B39,'Current List'!$A:$A,0)))</f>
        <v/>
      </c>
      <c r="I39" s="31">
        <f>IF(OR(INDEX('Current List'!$R:$R,MATCH($B39,'Current List'!$A:$A,0))=0,INDEX('Current List'!$R:$R,MATCH($B39,'Current List'!$A:$A,0))="N/A"),"-",INDEX('Current List'!$R:$R,MATCH($B39,'Current List'!$A:$A,0)))</f>
        <v/>
      </c>
      <c r="J39" s="31">
        <f>INDEX('Current List'!$N:$N,MATCH($B39,'Current List'!$A:$A,0))</f>
        <v/>
      </c>
      <c r="K39" s="31">
        <f>IF(INDEX('Current List'!$S:$S,MATCH($B39,'Current List'!$A:$A,0))=0,"",INDEX('Current List'!$S:$S,MATCH($B39,'Current List'!$A:$A,0)))</f>
        <v/>
      </c>
      <c r="L39" s="31">
        <f>IFERROR(IF(ISNUMBER(K39),K39,VALUE(LEFT(K39,1))),Assumptions!$B$4)</f>
        <v/>
      </c>
      <c r="M39" s="31">
        <f>IF(K39="","TBD","Confirmed")</f>
        <v/>
      </c>
      <c r="N39" s="32">
        <f>INDEX('Current List'!$T:$T,MATCH($B39,'Current List'!$A:$A,0))</f>
        <v/>
      </c>
      <c r="O39" s="32">
        <f>WORKDAY(N39,-Assumptions!$B$5)</f>
        <v/>
      </c>
      <c r="P39" s="32">
        <f>WORKDAY(O39,-VLOOKUP(A39,Assumptions!$A$11:$B$16,2,FALSE))</f>
        <v/>
      </c>
      <c r="Q39" s="32">
        <f>P39-WEEKDAY(P39,3)</f>
        <v/>
      </c>
      <c r="R39" s="32">
        <f>INDEX('Current List'!$U:$U,MATCH($B39,'Current List'!$A:$A,0))</f>
        <v/>
      </c>
      <c r="S39" s="31">
        <f>TRIM(IF(J39&lt;&gt;"Approved","Layout not validated; ","")&amp;IF(M39="TBD","Config TBD (default units); ","")&amp;IF(H39="TBD","Labor TBD; ","")&amp;IF(A39="Outlier","Remote / out of route; ","")&amp;IF(A39="South TX","Long haul; ",""))</f>
        <v/>
      </c>
    </row>
    <row r="40">
      <c r="A40" s="31" t="inlineStr">
        <is>
          <t>Houston</t>
        </is>
      </c>
      <c r="B40" s="31" t="inlineStr">
        <is>
          <t>190022</t>
        </is>
      </c>
      <c r="C40" s="31" t="n">
        <v>11067</v>
      </c>
      <c r="D40" s="31" t="inlineStr">
        <is>
          <t>Missouri City</t>
        </is>
      </c>
      <c r="E40" s="31" t="inlineStr">
        <is>
          <t>TX</t>
        </is>
      </c>
      <c r="F40" s="31" t="inlineStr">
        <is>
          <t>77459</t>
        </is>
      </c>
      <c r="G40" s="31">
        <f>INDEX('Current List'!$L:$L,MATCH($B40,'Current List'!$A:$A,0))</f>
        <v/>
      </c>
      <c r="H40" s="31">
        <f>IF(INDEX('Current List'!$O:$O,MATCH($B40,'Current List'!$A:$A,0))=0,"TBD",INDEX('Current List'!$O:$O,MATCH($B40,'Current List'!$A:$A,0)))</f>
        <v/>
      </c>
      <c r="I40" s="31">
        <f>IF(OR(INDEX('Current List'!$R:$R,MATCH($B40,'Current List'!$A:$A,0))=0,INDEX('Current List'!$R:$R,MATCH($B40,'Current List'!$A:$A,0))="N/A"),"-",INDEX('Current List'!$R:$R,MATCH($B40,'Current List'!$A:$A,0)))</f>
        <v/>
      </c>
      <c r="J40" s="31">
        <f>INDEX('Current List'!$N:$N,MATCH($B40,'Current List'!$A:$A,0))</f>
        <v/>
      </c>
      <c r="K40" s="31">
        <f>IF(INDEX('Current List'!$S:$S,MATCH($B40,'Current List'!$A:$A,0))=0,"",INDEX('Current List'!$S:$S,MATCH($B40,'Current List'!$A:$A,0)))</f>
        <v/>
      </c>
      <c r="L40" s="31">
        <f>IFERROR(IF(ISNUMBER(K40),K40,VALUE(LEFT(K40,1))),Assumptions!$B$4)</f>
        <v/>
      </c>
      <c r="M40" s="31">
        <f>IF(K40="","TBD","Confirmed")</f>
        <v/>
      </c>
      <c r="N40" s="32">
        <f>INDEX('Current List'!$T:$T,MATCH($B40,'Current List'!$A:$A,0))</f>
        <v/>
      </c>
      <c r="O40" s="32">
        <f>WORKDAY(N40,-Assumptions!$B$5)</f>
        <v/>
      </c>
      <c r="P40" s="32">
        <f>WORKDAY(O40,-VLOOKUP(A40,Assumptions!$A$11:$B$16,2,FALSE))</f>
        <v/>
      </c>
      <c r="Q40" s="32">
        <f>P40-WEEKDAY(P40,3)</f>
        <v/>
      </c>
      <c r="R40" s="32">
        <f>INDEX('Current List'!$U:$U,MATCH($B40,'Current List'!$A:$A,0))</f>
        <v/>
      </c>
      <c r="S40" s="31">
        <f>TRIM(IF(J40&lt;&gt;"Approved","Layout not validated; ","")&amp;IF(M40="TBD","Config TBD (default units); ","")&amp;IF(H40="TBD","Labor TBD; ","")&amp;IF(A40="Outlier","Remote / out of route; ","")&amp;IF(A40="South TX","Long haul; ",""))</f>
        <v/>
      </c>
    </row>
    <row r="41">
      <c r="A41" s="31" t="inlineStr">
        <is>
          <t>Houston</t>
        </is>
      </c>
      <c r="B41" s="31" t="inlineStr">
        <is>
          <t>189980</t>
        </is>
      </c>
      <c r="C41" s="31" t="n">
        <v>10544</v>
      </c>
      <c r="D41" s="31" t="inlineStr">
        <is>
          <t>Katy</t>
        </is>
      </c>
      <c r="E41" s="31" t="inlineStr">
        <is>
          <t>TX</t>
        </is>
      </c>
      <c r="F41" s="31" t="inlineStr">
        <is>
          <t>77494</t>
        </is>
      </c>
      <c r="G41" s="31">
        <f>INDEX('Current List'!$L:$L,MATCH($B41,'Current List'!$A:$A,0))</f>
        <v/>
      </c>
      <c r="H41" s="31">
        <f>IF(INDEX('Current List'!$O:$O,MATCH($B41,'Current List'!$A:$A,0))=0,"TBD",INDEX('Current List'!$O:$O,MATCH($B41,'Current List'!$A:$A,0)))</f>
        <v/>
      </c>
      <c r="I41" s="31">
        <f>IF(OR(INDEX('Current List'!$R:$R,MATCH($B41,'Current List'!$A:$A,0))=0,INDEX('Current List'!$R:$R,MATCH($B41,'Current List'!$A:$A,0))="N/A"),"-",INDEX('Current List'!$R:$R,MATCH($B41,'Current List'!$A:$A,0)))</f>
        <v/>
      </c>
      <c r="J41" s="31">
        <f>INDEX('Current List'!$N:$N,MATCH($B41,'Current List'!$A:$A,0))</f>
        <v/>
      </c>
      <c r="K41" s="31">
        <f>IF(INDEX('Current List'!$S:$S,MATCH($B41,'Current List'!$A:$A,0))=0,"",INDEX('Current List'!$S:$S,MATCH($B41,'Current List'!$A:$A,0)))</f>
        <v/>
      </c>
      <c r="L41" s="31">
        <f>IFERROR(IF(ISNUMBER(K41),K41,VALUE(LEFT(K41,1))),Assumptions!$B$4)</f>
        <v/>
      </c>
      <c r="M41" s="31">
        <f>IF(K41="","TBD","Confirmed")</f>
        <v/>
      </c>
      <c r="N41" s="32">
        <f>INDEX('Current List'!$T:$T,MATCH($B41,'Current List'!$A:$A,0))</f>
        <v/>
      </c>
      <c r="O41" s="32">
        <f>WORKDAY(N41,-Assumptions!$B$5)</f>
        <v/>
      </c>
      <c r="P41" s="32">
        <f>WORKDAY(O41,-VLOOKUP(A41,Assumptions!$A$11:$B$16,2,FALSE))</f>
        <v/>
      </c>
      <c r="Q41" s="32">
        <f>P41-WEEKDAY(P41,3)</f>
        <v/>
      </c>
      <c r="R41" s="32">
        <f>INDEX('Current List'!$U:$U,MATCH($B41,'Current List'!$A:$A,0))</f>
        <v/>
      </c>
      <c r="S41" s="31">
        <f>TRIM(IF(J41&lt;&gt;"Approved","Layout not validated; ","")&amp;IF(M41="TBD","Config TBD (default units); ","")&amp;IF(H41="TBD","Labor TBD; ","")&amp;IF(A41="Outlier","Remote / out of route; ","")&amp;IF(A41="South TX","Long haul; ",""))</f>
        <v/>
      </c>
    </row>
    <row r="42">
      <c r="A42" s="31" t="inlineStr">
        <is>
          <t>Houston</t>
        </is>
      </c>
      <c r="B42" s="31" t="inlineStr">
        <is>
          <t>190023</t>
        </is>
      </c>
      <c r="C42" s="31" t="n">
        <v>10604</v>
      </c>
      <c r="D42" s="31" t="inlineStr">
        <is>
          <t>Manvel</t>
        </is>
      </c>
      <c r="E42" s="31" t="inlineStr">
        <is>
          <t>TX</t>
        </is>
      </c>
      <c r="F42" s="31" t="inlineStr">
        <is>
          <t>77578</t>
        </is>
      </c>
      <c r="G42" s="31">
        <f>INDEX('Current List'!$L:$L,MATCH($B42,'Current List'!$A:$A,0))</f>
        <v/>
      </c>
      <c r="H42" s="31">
        <f>IF(INDEX('Current List'!$O:$O,MATCH($B42,'Current List'!$A:$A,0))=0,"TBD",INDEX('Current List'!$O:$O,MATCH($B42,'Current List'!$A:$A,0)))</f>
        <v/>
      </c>
      <c r="I42" s="31">
        <f>IF(OR(INDEX('Current List'!$R:$R,MATCH($B42,'Current List'!$A:$A,0))=0,INDEX('Current List'!$R:$R,MATCH($B42,'Current List'!$A:$A,0))="N/A"),"-",INDEX('Current List'!$R:$R,MATCH($B42,'Current List'!$A:$A,0)))</f>
        <v/>
      </c>
      <c r="J42" s="31">
        <f>INDEX('Current List'!$N:$N,MATCH($B42,'Current List'!$A:$A,0))</f>
        <v/>
      </c>
      <c r="K42" s="31">
        <f>IF(INDEX('Current List'!$S:$S,MATCH($B42,'Current List'!$A:$A,0))=0,"",INDEX('Current List'!$S:$S,MATCH($B42,'Current List'!$A:$A,0)))</f>
        <v/>
      </c>
      <c r="L42" s="31">
        <f>IFERROR(IF(ISNUMBER(K42),K42,VALUE(LEFT(K42,1))),Assumptions!$B$4)</f>
        <v/>
      </c>
      <c r="M42" s="31">
        <f>IF(K42="","TBD","Confirmed")</f>
        <v/>
      </c>
      <c r="N42" s="32">
        <f>INDEX('Current List'!$T:$T,MATCH($B42,'Current List'!$A:$A,0))</f>
        <v/>
      </c>
      <c r="O42" s="32">
        <f>WORKDAY(N42,-Assumptions!$B$5)</f>
        <v/>
      </c>
      <c r="P42" s="32">
        <f>WORKDAY(O42,-VLOOKUP(A42,Assumptions!$A$11:$B$16,2,FALSE))</f>
        <v/>
      </c>
      <c r="Q42" s="32">
        <f>P42-WEEKDAY(P42,3)</f>
        <v/>
      </c>
      <c r="R42" s="32">
        <f>INDEX('Current List'!$U:$U,MATCH($B42,'Current List'!$A:$A,0))</f>
        <v/>
      </c>
      <c r="S42" s="31">
        <f>TRIM(IF(J42&lt;&gt;"Approved","Layout not validated; ","")&amp;IF(M42="TBD","Config TBD (default units); ","")&amp;IF(H42="TBD","Labor TBD; ","")&amp;IF(A42="Outlier","Remote / out of route; ","")&amp;IF(A42="South TX","Long haul; ",""))</f>
        <v/>
      </c>
    </row>
    <row r="43">
      <c r="A43" s="31" t="inlineStr">
        <is>
          <t>Houston</t>
        </is>
      </c>
      <c r="B43" s="31" t="inlineStr">
        <is>
          <t>189420</t>
        </is>
      </c>
      <c r="C43" s="31" t="n">
        <v>6000</v>
      </c>
      <c r="D43" s="31" t="inlineStr">
        <is>
          <t>Pasadena</t>
        </is>
      </c>
      <c r="E43" s="31" t="inlineStr">
        <is>
          <t>TX</t>
        </is>
      </c>
      <c r="F43" s="31" t="inlineStr">
        <is>
          <t>77504</t>
        </is>
      </c>
      <c r="G43" s="31">
        <f>INDEX('Current List'!$L:$L,MATCH($B43,'Current List'!$A:$A,0))</f>
        <v/>
      </c>
      <c r="H43" s="31">
        <f>IF(INDEX('Current List'!$O:$O,MATCH($B43,'Current List'!$A:$A,0))=0,"TBD",INDEX('Current List'!$O:$O,MATCH($B43,'Current List'!$A:$A,0)))</f>
        <v/>
      </c>
      <c r="I43" s="31">
        <f>IF(OR(INDEX('Current List'!$R:$R,MATCH($B43,'Current List'!$A:$A,0))=0,INDEX('Current List'!$R:$R,MATCH($B43,'Current List'!$A:$A,0))="N/A"),"-",INDEX('Current List'!$R:$R,MATCH($B43,'Current List'!$A:$A,0)))</f>
        <v/>
      </c>
      <c r="J43" s="31">
        <f>INDEX('Current List'!$N:$N,MATCH($B43,'Current List'!$A:$A,0))</f>
        <v/>
      </c>
      <c r="K43" s="31">
        <f>IF(INDEX('Current List'!$S:$S,MATCH($B43,'Current List'!$A:$A,0))=0,"",INDEX('Current List'!$S:$S,MATCH($B43,'Current List'!$A:$A,0)))</f>
        <v/>
      </c>
      <c r="L43" s="31">
        <f>IFERROR(IF(ISNUMBER(K43),K43,VALUE(LEFT(K43,1))),Assumptions!$B$4)</f>
        <v/>
      </c>
      <c r="M43" s="31">
        <f>IF(K43="","TBD","Confirmed")</f>
        <v/>
      </c>
      <c r="N43" s="32">
        <f>INDEX('Current List'!$T:$T,MATCH($B43,'Current List'!$A:$A,0))</f>
        <v/>
      </c>
      <c r="O43" s="32">
        <f>WORKDAY(N43,-Assumptions!$B$5)</f>
        <v/>
      </c>
      <c r="P43" s="32">
        <f>WORKDAY(O43,-VLOOKUP(A43,Assumptions!$A$11:$B$16,2,FALSE))</f>
        <v/>
      </c>
      <c r="Q43" s="32">
        <f>P43-WEEKDAY(P43,3)</f>
        <v/>
      </c>
      <c r="R43" s="32">
        <f>INDEX('Current List'!$U:$U,MATCH($B43,'Current List'!$A:$A,0))</f>
        <v/>
      </c>
      <c r="S43" s="31">
        <f>TRIM(IF(J43&lt;&gt;"Approved","Layout not validated; ","")&amp;IF(M43="TBD","Config TBD (default units); ","")&amp;IF(H43="TBD","Labor TBD; ","")&amp;IF(A43="Outlier","Remote / out of route; ","")&amp;IF(A43="South TX","Long haul; ",""))</f>
        <v/>
      </c>
    </row>
    <row r="44">
      <c r="A44" s="31" t="inlineStr">
        <is>
          <t>Houston</t>
        </is>
      </c>
      <c r="B44" s="31" t="inlineStr">
        <is>
          <t>189522</t>
        </is>
      </c>
      <c r="C44" s="31" t="n">
        <v>7120</v>
      </c>
      <c r="D44" s="31" t="inlineStr">
        <is>
          <t>Pearland</t>
        </is>
      </c>
      <c r="E44" s="31" t="inlineStr">
        <is>
          <t>TX</t>
        </is>
      </c>
      <c r="F44" s="31" t="inlineStr">
        <is>
          <t>77584</t>
        </is>
      </c>
      <c r="G44" s="31">
        <f>INDEX('Current List'!$L:$L,MATCH($B44,'Current List'!$A:$A,0))</f>
        <v/>
      </c>
      <c r="H44" s="31">
        <f>IF(INDEX('Current List'!$O:$O,MATCH($B44,'Current List'!$A:$A,0))=0,"TBD",INDEX('Current List'!$O:$O,MATCH($B44,'Current List'!$A:$A,0)))</f>
        <v/>
      </c>
      <c r="I44" s="31">
        <f>IF(OR(INDEX('Current List'!$R:$R,MATCH($B44,'Current List'!$A:$A,0))=0,INDEX('Current List'!$R:$R,MATCH($B44,'Current List'!$A:$A,0))="N/A"),"-",INDEX('Current List'!$R:$R,MATCH($B44,'Current List'!$A:$A,0)))</f>
        <v/>
      </c>
      <c r="J44" s="31">
        <f>INDEX('Current List'!$N:$N,MATCH($B44,'Current List'!$A:$A,0))</f>
        <v/>
      </c>
      <c r="K44" s="31">
        <f>IF(INDEX('Current List'!$S:$S,MATCH($B44,'Current List'!$A:$A,0))=0,"",INDEX('Current List'!$S:$S,MATCH($B44,'Current List'!$A:$A,0)))</f>
        <v/>
      </c>
      <c r="L44" s="31">
        <f>IFERROR(IF(ISNUMBER(K44),K44,VALUE(LEFT(K44,1))),Assumptions!$B$4)</f>
        <v/>
      </c>
      <c r="M44" s="31">
        <f>IF(K44="","TBD","Confirmed")</f>
        <v/>
      </c>
      <c r="N44" s="32">
        <f>INDEX('Current List'!$T:$T,MATCH($B44,'Current List'!$A:$A,0))</f>
        <v/>
      </c>
      <c r="O44" s="32">
        <f>WORKDAY(N44,-Assumptions!$B$5)</f>
        <v/>
      </c>
      <c r="P44" s="32">
        <f>WORKDAY(O44,-VLOOKUP(A44,Assumptions!$A$11:$B$16,2,FALSE))</f>
        <v/>
      </c>
      <c r="Q44" s="32">
        <f>P44-WEEKDAY(P44,3)</f>
        <v/>
      </c>
      <c r="R44" s="32">
        <f>INDEX('Current List'!$U:$U,MATCH($B44,'Current List'!$A:$A,0))</f>
        <v/>
      </c>
      <c r="S44" s="31">
        <f>TRIM(IF(J44&lt;&gt;"Approved","Layout not validated; ","")&amp;IF(M44="TBD","Config TBD (default units); ","")&amp;IF(H44="TBD","Labor TBD; ","")&amp;IF(A44="Outlier","Remote / out of route; ","")&amp;IF(A44="South TX","Long haul; ",""))</f>
        <v/>
      </c>
    </row>
    <row r="45">
      <c r="A45" s="31" t="inlineStr">
        <is>
          <t>Austin / Central</t>
        </is>
      </c>
      <c r="B45" s="31" t="inlineStr">
        <is>
          <t>189469</t>
        </is>
      </c>
      <c r="C45" s="31" t="n">
        <v>6893</v>
      </c>
      <c r="D45" s="31" t="inlineStr">
        <is>
          <t>Austin</t>
        </is>
      </c>
      <c r="E45" s="31" t="inlineStr">
        <is>
          <t>TX</t>
        </is>
      </c>
      <c r="F45" s="31" t="inlineStr">
        <is>
          <t>78731</t>
        </is>
      </c>
      <c r="G45" s="31">
        <f>INDEX('Current List'!$L:$L,MATCH($B45,'Current List'!$A:$A,0))</f>
        <v/>
      </c>
      <c r="H45" s="31">
        <f>IF(INDEX('Current List'!$O:$O,MATCH($B45,'Current List'!$A:$A,0))=0,"TBD",INDEX('Current List'!$O:$O,MATCH($B45,'Current List'!$A:$A,0)))</f>
        <v/>
      </c>
      <c r="I45" s="31">
        <f>IF(OR(INDEX('Current List'!$R:$R,MATCH($B45,'Current List'!$A:$A,0))=0,INDEX('Current List'!$R:$R,MATCH($B45,'Current List'!$A:$A,0))="N/A"),"-",INDEX('Current List'!$R:$R,MATCH($B45,'Current List'!$A:$A,0)))</f>
        <v/>
      </c>
      <c r="J45" s="31">
        <f>INDEX('Current List'!$N:$N,MATCH($B45,'Current List'!$A:$A,0))</f>
        <v/>
      </c>
      <c r="K45" s="31">
        <f>IF(INDEX('Current List'!$S:$S,MATCH($B45,'Current List'!$A:$A,0))=0,"",INDEX('Current List'!$S:$S,MATCH($B45,'Current List'!$A:$A,0)))</f>
        <v/>
      </c>
      <c r="L45" s="31">
        <f>IFERROR(IF(ISNUMBER(K45),K45,VALUE(LEFT(K45,1))),Assumptions!$B$4)</f>
        <v/>
      </c>
      <c r="M45" s="31">
        <f>IF(K45="","TBD","Confirmed")</f>
        <v/>
      </c>
      <c r="N45" s="32">
        <f>INDEX('Current List'!$T:$T,MATCH($B45,'Current List'!$A:$A,0))</f>
        <v/>
      </c>
      <c r="O45" s="32">
        <f>WORKDAY(N45,-Assumptions!$B$5)</f>
        <v/>
      </c>
      <c r="P45" s="32">
        <f>WORKDAY(O45,-VLOOKUP(A45,Assumptions!$A$11:$B$16,2,FALSE))</f>
        <v/>
      </c>
      <c r="Q45" s="32">
        <f>P45-WEEKDAY(P45,3)</f>
        <v/>
      </c>
      <c r="R45" s="32">
        <f>INDEX('Current List'!$U:$U,MATCH($B45,'Current List'!$A:$A,0))</f>
        <v/>
      </c>
      <c r="S45" s="31">
        <f>TRIM(IF(J45&lt;&gt;"Approved","Layout not validated; ","")&amp;IF(M45="TBD","Config TBD (default units); ","")&amp;IF(H45="TBD","Labor TBD; ","")&amp;IF(A45="Outlier","Remote / out of route; ","")&amp;IF(A45="South TX","Long haul; ",""))</f>
        <v/>
      </c>
    </row>
    <row r="46">
      <c r="A46" s="31" t="inlineStr">
        <is>
          <t>Austin / Central</t>
        </is>
      </c>
      <c r="B46" s="31" t="inlineStr">
        <is>
          <t>190027</t>
        </is>
      </c>
      <c r="C46" s="31" t="n">
        <v>10691</v>
      </c>
      <c r="D46" s="31" t="inlineStr">
        <is>
          <t>Marble Falls</t>
        </is>
      </c>
      <c r="E46" s="31" t="inlineStr">
        <is>
          <t>TX</t>
        </is>
      </c>
      <c r="F46" s="31" t="inlineStr">
        <is>
          <t>78654</t>
        </is>
      </c>
      <c r="G46" s="31">
        <f>INDEX('Current List'!$L:$L,MATCH($B46,'Current List'!$A:$A,0))</f>
        <v/>
      </c>
      <c r="H46" s="31">
        <f>IF(INDEX('Current List'!$O:$O,MATCH($B46,'Current List'!$A:$A,0))=0,"TBD",INDEX('Current List'!$O:$O,MATCH($B46,'Current List'!$A:$A,0)))</f>
        <v/>
      </c>
      <c r="I46" s="31">
        <f>IF(OR(INDEX('Current List'!$R:$R,MATCH($B46,'Current List'!$A:$A,0))=0,INDEX('Current List'!$R:$R,MATCH($B46,'Current List'!$A:$A,0))="N/A"),"-",INDEX('Current List'!$R:$R,MATCH($B46,'Current List'!$A:$A,0)))</f>
        <v/>
      </c>
      <c r="J46" s="31">
        <f>INDEX('Current List'!$N:$N,MATCH($B46,'Current List'!$A:$A,0))</f>
        <v/>
      </c>
      <c r="K46" s="31">
        <f>IF(INDEX('Current List'!$S:$S,MATCH($B46,'Current List'!$A:$A,0))=0,"",INDEX('Current List'!$S:$S,MATCH($B46,'Current List'!$A:$A,0)))</f>
        <v/>
      </c>
      <c r="L46" s="31">
        <f>IFERROR(IF(ISNUMBER(K46),K46,VALUE(LEFT(K46,1))),Assumptions!$B$4)</f>
        <v/>
      </c>
      <c r="M46" s="31">
        <f>IF(K46="","TBD","Confirmed")</f>
        <v/>
      </c>
      <c r="N46" s="32">
        <f>INDEX('Current List'!$T:$T,MATCH($B46,'Current List'!$A:$A,0))</f>
        <v/>
      </c>
      <c r="O46" s="32">
        <f>WORKDAY(N46,-Assumptions!$B$5)</f>
        <v/>
      </c>
      <c r="P46" s="32">
        <f>WORKDAY(O46,-VLOOKUP(A46,Assumptions!$A$11:$B$16,2,FALSE))</f>
        <v/>
      </c>
      <c r="Q46" s="32">
        <f>P46-WEEKDAY(P46,3)</f>
        <v/>
      </c>
      <c r="R46" s="32">
        <f>INDEX('Current List'!$U:$U,MATCH($B46,'Current List'!$A:$A,0))</f>
        <v/>
      </c>
      <c r="S46" s="31">
        <f>TRIM(IF(J46&lt;&gt;"Approved","Layout not validated; ","")&amp;IF(M46="TBD","Config TBD (default units); ","")&amp;IF(H46="TBD","Labor TBD; ","")&amp;IF(A46="Outlier","Remote / out of route; ","")&amp;IF(A46="South TX","Long haul; ",""))</f>
        <v/>
      </c>
    </row>
    <row r="47">
      <c r="A47" s="31" t="inlineStr">
        <is>
          <t>Austin / Central</t>
        </is>
      </c>
      <c r="B47" s="31" t="inlineStr">
        <is>
          <t>190026</t>
        </is>
      </c>
      <c r="C47" s="31" t="n">
        <v>10875</v>
      </c>
      <c r="D47" s="31" t="inlineStr">
        <is>
          <t>Round Rock</t>
        </is>
      </c>
      <c r="E47" s="31" t="inlineStr">
        <is>
          <t>TX</t>
        </is>
      </c>
      <c r="F47" s="31" t="inlineStr">
        <is>
          <t>78681</t>
        </is>
      </c>
      <c r="G47" s="31">
        <f>INDEX('Current List'!$L:$L,MATCH($B47,'Current List'!$A:$A,0))</f>
        <v/>
      </c>
      <c r="H47" s="31">
        <f>IF(INDEX('Current List'!$O:$O,MATCH($B47,'Current List'!$A:$A,0))=0,"TBD",INDEX('Current List'!$O:$O,MATCH($B47,'Current List'!$A:$A,0)))</f>
        <v/>
      </c>
      <c r="I47" s="31">
        <f>IF(OR(INDEX('Current List'!$R:$R,MATCH($B47,'Current List'!$A:$A,0))=0,INDEX('Current List'!$R:$R,MATCH($B47,'Current List'!$A:$A,0))="N/A"),"-",INDEX('Current List'!$R:$R,MATCH($B47,'Current List'!$A:$A,0)))</f>
        <v/>
      </c>
      <c r="J47" s="31">
        <f>INDEX('Current List'!$N:$N,MATCH($B47,'Current List'!$A:$A,0))</f>
        <v/>
      </c>
      <c r="K47" s="31">
        <f>IF(INDEX('Current List'!$S:$S,MATCH($B47,'Current List'!$A:$A,0))=0,"",INDEX('Current List'!$S:$S,MATCH($B47,'Current List'!$A:$A,0)))</f>
        <v/>
      </c>
      <c r="L47" s="31">
        <f>IFERROR(IF(ISNUMBER(K47),K47,VALUE(LEFT(K47,1))),Assumptions!$B$4)</f>
        <v/>
      </c>
      <c r="M47" s="31">
        <f>IF(K47="","TBD","Confirmed")</f>
        <v/>
      </c>
      <c r="N47" s="32">
        <f>INDEX('Current List'!$T:$T,MATCH($B47,'Current List'!$A:$A,0))</f>
        <v/>
      </c>
      <c r="O47" s="32">
        <f>WORKDAY(N47,-Assumptions!$B$5)</f>
        <v/>
      </c>
      <c r="P47" s="32">
        <f>WORKDAY(O47,-VLOOKUP(A47,Assumptions!$A$11:$B$16,2,FALSE))</f>
        <v/>
      </c>
      <c r="Q47" s="32">
        <f>P47-WEEKDAY(P47,3)</f>
        <v/>
      </c>
      <c r="R47" s="32">
        <f>INDEX('Current List'!$U:$U,MATCH($B47,'Current List'!$A:$A,0))</f>
        <v/>
      </c>
      <c r="S47" s="31">
        <f>TRIM(IF(J47&lt;&gt;"Approved","Layout not validated; ","")&amp;IF(M47="TBD","Config TBD (default units); ","")&amp;IF(H47="TBD","Labor TBD; ","")&amp;IF(A47="Outlier","Remote / out of route; ","")&amp;IF(A47="South TX","Long haul; ",""))</f>
        <v/>
      </c>
    </row>
    <row r="48">
      <c r="A48" s="31" t="inlineStr">
        <is>
          <t>Austin / Central</t>
        </is>
      </c>
      <c r="B48" s="31" t="inlineStr">
        <is>
          <t>189074</t>
        </is>
      </c>
      <c r="C48" s="31" t="n">
        <v>1430</v>
      </c>
      <c r="D48" s="31" t="inlineStr">
        <is>
          <t>Austin</t>
        </is>
      </c>
      <c r="E48" s="31" t="inlineStr">
        <is>
          <t>TX</t>
        </is>
      </c>
      <c r="F48" s="31" t="inlineStr">
        <is>
          <t>78704</t>
        </is>
      </c>
      <c r="G48" s="31">
        <f>INDEX('Current List'!$L:$L,MATCH($B48,'Current List'!$A:$A,0))</f>
        <v/>
      </c>
      <c r="H48" s="31">
        <f>IF(INDEX('Current List'!$O:$O,MATCH($B48,'Current List'!$A:$A,0))=0,"TBD",INDEX('Current List'!$O:$O,MATCH($B48,'Current List'!$A:$A,0)))</f>
        <v/>
      </c>
      <c r="I48" s="31">
        <f>IF(OR(INDEX('Current List'!$R:$R,MATCH($B48,'Current List'!$A:$A,0))=0,INDEX('Current List'!$R:$R,MATCH($B48,'Current List'!$A:$A,0))="N/A"),"-",INDEX('Current List'!$R:$R,MATCH($B48,'Current List'!$A:$A,0)))</f>
        <v/>
      </c>
      <c r="J48" s="31">
        <f>INDEX('Current List'!$N:$N,MATCH($B48,'Current List'!$A:$A,0))</f>
        <v/>
      </c>
      <c r="K48" s="31">
        <f>IF(INDEX('Current List'!$S:$S,MATCH($B48,'Current List'!$A:$A,0))=0,"",INDEX('Current List'!$S:$S,MATCH($B48,'Current List'!$A:$A,0)))</f>
        <v/>
      </c>
      <c r="L48" s="31">
        <f>IFERROR(IF(ISNUMBER(K48),K48,VALUE(LEFT(K48,1))),Assumptions!$B$4)</f>
        <v/>
      </c>
      <c r="M48" s="31">
        <f>IF(K48="","TBD","Confirmed")</f>
        <v/>
      </c>
      <c r="N48" s="32">
        <f>INDEX('Current List'!$T:$T,MATCH($B48,'Current List'!$A:$A,0))</f>
        <v/>
      </c>
      <c r="O48" s="32">
        <f>WORKDAY(N48,-Assumptions!$B$5)</f>
        <v/>
      </c>
      <c r="P48" s="32">
        <f>WORKDAY(O48,-VLOOKUP(A48,Assumptions!$A$11:$B$16,2,FALSE))</f>
        <v/>
      </c>
      <c r="Q48" s="32">
        <f>P48-WEEKDAY(P48,3)</f>
        <v/>
      </c>
      <c r="R48" s="32">
        <f>INDEX('Current List'!$U:$U,MATCH($B48,'Current List'!$A:$A,0))</f>
        <v/>
      </c>
      <c r="S48" s="31">
        <f>TRIM(IF(J48&lt;&gt;"Approved","Layout not validated; ","")&amp;IF(M48="TBD","Config TBD (default units); ","")&amp;IF(H48="TBD","Labor TBD; ","")&amp;IF(A48="Outlier","Remote / out of route; ","")&amp;IF(A48="South TX","Long haul; ",""))</f>
        <v/>
      </c>
    </row>
    <row r="49">
      <c r="A49" s="31" t="inlineStr">
        <is>
          <t>Austin / Central</t>
        </is>
      </c>
      <c r="B49" s="31" t="inlineStr">
        <is>
          <t>189470</t>
        </is>
      </c>
      <c r="C49" s="31" t="n">
        <v>6822</v>
      </c>
      <c r="D49" s="31" t="inlineStr">
        <is>
          <t>Austin</t>
        </is>
      </c>
      <c r="E49" s="31" t="inlineStr">
        <is>
          <t>TX</t>
        </is>
      </c>
      <c r="F49" s="31" t="inlineStr">
        <is>
          <t>78756</t>
        </is>
      </c>
      <c r="G49" s="31">
        <f>INDEX('Current List'!$L:$L,MATCH($B49,'Current List'!$A:$A,0))</f>
        <v/>
      </c>
      <c r="H49" s="31">
        <f>IF(INDEX('Current List'!$O:$O,MATCH($B49,'Current List'!$A:$A,0))=0,"TBD",INDEX('Current List'!$O:$O,MATCH($B49,'Current List'!$A:$A,0)))</f>
        <v/>
      </c>
      <c r="I49" s="31">
        <f>IF(OR(INDEX('Current List'!$R:$R,MATCH($B49,'Current List'!$A:$A,0))=0,INDEX('Current List'!$R:$R,MATCH($B49,'Current List'!$A:$A,0))="N/A"),"-",INDEX('Current List'!$R:$R,MATCH($B49,'Current List'!$A:$A,0)))</f>
        <v/>
      </c>
      <c r="J49" s="31">
        <f>INDEX('Current List'!$N:$N,MATCH($B49,'Current List'!$A:$A,0))</f>
        <v/>
      </c>
      <c r="K49" s="31">
        <f>IF(INDEX('Current List'!$S:$S,MATCH($B49,'Current List'!$A:$A,0))=0,"",INDEX('Current List'!$S:$S,MATCH($B49,'Current List'!$A:$A,0)))</f>
        <v/>
      </c>
      <c r="L49" s="31">
        <f>IFERROR(IF(ISNUMBER(K49),K49,VALUE(LEFT(K49,1))),Assumptions!$B$4)</f>
        <v/>
      </c>
      <c r="M49" s="31">
        <f>IF(K49="","TBD","Confirmed")</f>
        <v/>
      </c>
      <c r="N49" s="32">
        <f>INDEX('Current List'!$T:$T,MATCH($B49,'Current List'!$A:$A,0))</f>
        <v/>
      </c>
      <c r="O49" s="32">
        <f>WORKDAY(N49,-Assumptions!$B$5)</f>
        <v/>
      </c>
      <c r="P49" s="32">
        <f>WORKDAY(O49,-VLOOKUP(A49,Assumptions!$A$11:$B$16,2,FALSE))</f>
        <v/>
      </c>
      <c r="Q49" s="32">
        <f>P49-WEEKDAY(P49,3)</f>
        <v/>
      </c>
      <c r="R49" s="32">
        <f>INDEX('Current List'!$U:$U,MATCH($B49,'Current List'!$A:$A,0))</f>
        <v/>
      </c>
      <c r="S49" s="31">
        <f>TRIM(IF(J49&lt;&gt;"Approved","Layout not validated; ","")&amp;IF(M49="TBD","Config TBD (default units); ","")&amp;IF(H49="TBD","Labor TBD; ","")&amp;IF(A49="Outlier","Remote / out of route; ","")&amp;IF(A49="South TX","Long haul; ",""))</f>
        <v/>
      </c>
    </row>
    <row r="50">
      <c r="A50" s="31" t="inlineStr">
        <is>
          <t>Austin / Central</t>
        </is>
      </c>
      <c r="B50" s="31" t="inlineStr">
        <is>
          <t>189425</t>
        </is>
      </c>
      <c r="C50" s="31" t="n">
        <v>5776</v>
      </c>
      <c r="D50" s="31" t="inlineStr">
        <is>
          <t>San Marcos</t>
        </is>
      </c>
      <c r="E50" s="31" t="inlineStr">
        <is>
          <t>TX</t>
        </is>
      </c>
      <c r="F50" s="31" t="inlineStr">
        <is>
          <t>78666</t>
        </is>
      </c>
      <c r="G50" s="31">
        <f>INDEX('Current List'!$L:$L,MATCH($B50,'Current List'!$A:$A,0))</f>
        <v/>
      </c>
      <c r="H50" s="31">
        <f>IF(INDEX('Current List'!$O:$O,MATCH($B50,'Current List'!$A:$A,0))=0,"TBD",INDEX('Current List'!$O:$O,MATCH($B50,'Current List'!$A:$A,0)))</f>
        <v/>
      </c>
      <c r="I50" s="31">
        <f>IF(OR(INDEX('Current List'!$R:$R,MATCH($B50,'Current List'!$A:$A,0))=0,INDEX('Current List'!$R:$R,MATCH($B50,'Current List'!$A:$A,0))="N/A"),"-",INDEX('Current List'!$R:$R,MATCH($B50,'Current List'!$A:$A,0)))</f>
        <v/>
      </c>
      <c r="J50" s="31">
        <f>INDEX('Current List'!$N:$N,MATCH($B50,'Current List'!$A:$A,0))</f>
        <v/>
      </c>
      <c r="K50" s="31">
        <f>IF(INDEX('Current List'!$S:$S,MATCH($B50,'Current List'!$A:$A,0))=0,"",INDEX('Current List'!$S:$S,MATCH($B50,'Current List'!$A:$A,0)))</f>
        <v/>
      </c>
      <c r="L50" s="31">
        <f>IFERROR(IF(ISNUMBER(K50),K50,VALUE(LEFT(K50,1))),Assumptions!$B$4)</f>
        <v/>
      </c>
      <c r="M50" s="31">
        <f>IF(K50="","TBD","Confirmed")</f>
        <v/>
      </c>
      <c r="N50" s="32">
        <f>INDEX('Current List'!$T:$T,MATCH($B50,'Current List'!$A:$A,0))</f>
        <v/>
      </c>
      <c r="O50" s="32">
        <f>WORKDAY(N50,-Assumptions!$B$5)</f>
        <v/>
      </c>
      <c r="P50" s="32">
        <f>WORKDAY(O50,-VLOOKUP(A50,Assumptions!$A$11:$B$16,2,FALSE))</f>
        <v/>
      </c>
      <c r="Q50" s="32">
        <f>P50-WEEKDAY(P50,3)</f>
        <v/>
      </c>
      <c r="R50" s="32">
        <f>INDEX('Current List'!$U:$U,MATCH($B50,'Current List'!$A:$A,0))</f>
        <v/>
      </c>
      <c r="S50" s="31">
        <f>TRIM(IF(J50&lt;&gt;"Approved","Layout not validated; ","")&amp;IF(M50="TBD","Config TBD (default units); ","")&amp;IF(H50="TBD","Labor TBD; ","")&amp;IF(A50="Outlier","Remote / out of route; ","")&amp;IF(A50="South TX","Long haul; ",""))</f>
        <v/>
      </c>
    </row>
    <row r="51">
      <c r="A51" s="31" t="inlineStr">
        <is>
          <t>Austin / Central</t>
        </is>
      </c>
      <c r="B51" s="31" t="inlineStr">
        <is>
          <t>189928</t>
        </is>
      </c>
      <c r="C51" s="31" t="n">
        <v>10221</v>
      </c>
      <c r="D51" s="31" t="inlineStr">
        <is>
          <t>Killeen</t>
        </is>
      </c>
      <c r="E51" s="31" t="inlineStr">
        <is>
          <t>TX</t>
        </is>
      </c>
      <c r="F51" s="31" t="inlineStr">
        <is>
          <t>76542</t>
        </is>
      </c>
      <c r="G51" s="31">
        <f>INDEX('Current List'!$L:$L,MATCH($B51,'Current List'!$A:$A,0))</f>
        <v/>
      </c>
      <c r="H51" s="31">
        <f>IF(INDEX('Current List'!$O:$O,MATCH($B51,'Current List'!$A:$A,0))=0,"TBD",INDEX('Current List'!$O:$O,MATCH($B51,'Current List'!$A:$A,0)))</f>
        <v/>
      </c>
      <c r="I51" s="31">
        <f>IF(OR(INDEX('Current List'!$R:$R,MATCH($B51,'Current List'!$A:$A,0))=0,INDEX('Current List'!$R:$R,MATCH($B51,'Current List'!$A:$A,0))="N/A"),"-",INDEX('Current List'!$R:$R,MATCH($B51,'Current List'!$A:$A,0)))</f>
        <v/>
      </c>
      <c r="J51" s="31">
        <f>INDEX('Current List'!$N:$N,MATCH($B51,'Current List'!$A:$A,0))</f>
        <v/>
      </c>
      <c r="K51" s="31">
        <f>IF(INDEX('Current List'!$S:$S,MATCH($B51,'Current List'!$A:$A,0))=0,"",INDEX('Current List'!$S:$S,MATCH($B51,'Current List'!$A:$A,0)))</f>
        <v/>
      </c>
      <c r="L51" s="31">
        <f>IFERROR(IF(ISNUMBER(K51),K51,VALUE(LEFT(K51,1))),Assumptions!$B$4)</f>
        <v/>
      </c>
      <c r="M51" s="31">
        <f>IF(K51="","TBD","Confirmed")</f>
        <v/>
      </c>
      <c r="N51" s="32">
        <f>INDEX('Current List'!$T:$T,MATCH($B51,'Current List'!$A:$A,0))</f>
        <v/>
      </c>
      <c r="O51" s="32">
        <f>WORKDAY(N51,-Assumptions!$B$5)</f>
        <v/>
      </c>
      <c r="P51" s="32">
        <f>WORKDAY(O51,-VLOOKUP(A51,Assumptions!$A$11:$B$16,2,FALSE))</f>
        <v/>
      </c>
      <c r="Q51" s="32">
        <f>P51-WEEKDAY(P51,3)</f>
        <v/>
      </c>
      <c r="R51" s="32">
        <f>INDEX('Current List'!$U:$U,MATCH($B51,'Current List'!$A:$A,0))</f>
        <v/>
      </c>
      <c r="S51" s="31">
        <f>TRIM(IF(J51&lt;&gt;"Approved","Layout not validated; ","")&amp;IF(M51="TBD","Config TBD (default units); ","")&amp;IF(H51="TBD","Labor TBD; ","")&amp;IF(A51="Outlier","Remote / out of route; ","")&amp;IF(A51="South TX","Long haul; ",""))</f>
        <v/>
      </c>
    </row>
    <row r="52">
      <c r="A52" s="31" t="inlineStr">
        <is>
          <t>Austin / Central</t>
        </is>
      </c>
      <c r="B52" s="31" t="inlineStr">
        <is>
          <t>189982</t>
        </is>
      </c>
      <c r="C52" s="31" t="n">
        <v>10585</v>
      </c>
      <c r="D52" s="31" t="inlineStr">
        <is>
          <t>Killeen</t>
        </is>
      </c>
      <c r="E52" s="31" t="inlineStr">
        <is>
          <t>TX</t>
        </is>
      </c>
      <c r="F52" s="31" t="inlineStr">
        <is>
          <t>76549</t>
        </is>
      </c>
      <c r="G52" s="31">
        <f>INDEX('Current List'!$L:$L,MATCH($B52,'Current List'!$A:$A,0))</f>
        <v/>
      </c>
      <c r="H52" s="31">
        <f>IF(INDEX('Current List'!$O:$O,MATCH($B52,'Current List'!$A:$A,0))=0,"TBD",INDEX('Current List'!$O:$O,MATCH($B52,'Current List'!$A:$A,0)))</f>
        <v/>
      </c>
      <c r="I52" s="31">
        <f>IF(OR(INDEX('Current List'!$R:$R,MATCH($B52,'Current List'!$A:$A,0))=0,INDEX('Current List'!$R:$R,MATCH($B52,'Current List'!$A:$A,0))="N/A"),"-",INDEX('Current List'!$R:$R,MATCH($B52,'Current List'!$A:$A,0)))</f>
        <v/>
      </c>
      <c r="J52" s="31">
        <f>INDEX('Current List'!$N:$N,MATCH($B52,'Current List'!$A:$A,0))</f>
        <v/>
      </c>
      <c r="K52" s="31">
        <f>IF(INDEX('Current List'!$S:$S,MATCH($B52,'Current List'!$A:$A,0))=0,"",INDEX('Current List'!$S:$S,MATCH($B52,'Current List'!$A:$A,0)))</f>
        <v/>
      </c>
      <c r="L52" s="31">
        <f>IFERROR(IF(ISNUMBER(K52),K52,VALUE(LEFT(K52,1))),Assumptions!$B$4)</f>
        <v/>
      </c>
      <c r="M52" s="31">
        <f>IF(K52="","TBD","Confirmed")</f>
        <v/>
      </c>
      <c r="N52" s="32">
        <f>INDEX('Current List'!$T:$T,MATCH($B52,'Current List'!$A:$A,0))</f>
        <v/>
      </c>
      <c r="O52" s="32">
        <f>WORKDAY(N52,-Assumptions!$B$5)</f>
        <v/>
      </c>
      <c r="P52" s="32">
        <f>WORKDAY(O52,-VLOOKUP(A52,Assumptions!$A$11:$B$16,2,FALSE))</f>
        <v/>
      </c>
      <c r="Q52" s="32">
        <f>P52-WEEKDAY(P52,3)</f>
        <v/>
      </c>
      <c r="R52" s="32">
        <f>INDEX('Current List'!$U:$U,MATCH($B52,'Current List'!$A:$A,0))</f>
        <v/>
      </c>
      <c r="S52" s="31">
        <f>TRIM(IF(J52&lt;&gt;"Approved","Layout not validated; ","")&amp;IF(M52="TBD","Config TBD (default units); ","")&amp;IF(H52="TBD","Labor TBD; ","")&amp;IF(A52="Outlier","Remote / out of route; ","")&amp;IF(A52="South TX","Long haul; ",""))</f>
        <v/>
      </c>
    </row>
    <row r="53">
      <c r="A53" s="31" t="inlineStr">
        <is>
          <t>Austin / Central</t>
        </is>
      </c>
      <c r="B53" s="31" t="inlineStr">
        <is>
          <t>188921</t>
        </is>
      </c>
      <c r="C53" s="31" t="n">
        <v>357</v>
      </c>
      <c r="D53" s="31" t="inlineStr">
        <is>
          <t>Austin</t>
        </is>
      </c>
      <c r="E53" s="31" t="inlineStr">
        <is>
          <t>TX</t>
        </is>
      </c>
      <c r="F53" s="31" t="inlineStr">
        <is>
          <t>78754</t>
        </is>
      </c>
      <c r="G53" s="31">
        <f>INDEX('Current List'!$L:$L,MATCH($B53,'Current List'!$A:$A,0))</f>
        <v/>
      </c>
      <c r="H53" s="31">
        <f>IF(INDEX('Current List'!$O:$O,MATCH($B53,'Current List'!$A:$A,0))=0,"TBD",INDEX('Current List'!$O:$O,MATCH($B53,'Current List'!$A:$A,0)))</f>
        <v/>
      </c>
      <c r="I53" s="31">
        <f>IF(OR(INDEX('Current List'!$R:$R,MATCH($B53,'Current List'!$A:$A,0))=0,INDEX('Current List'!$R:$R,MATCH($B53,'Current List'!$A:$A,0))="N/A"),"-",INDEX('Current List'!$R:$R,MATCH($B53,'Current List'!$A:$A,0)))</f>
        <v/>
      </c>
      <c r="J53" s="31">
        <f>INDEX('Current List'!$N:$N,MATCH($B53,'Current List'!$A:$A,0))</f>
        <v/>
      </c>
      <c r="K53" s="31">
        <f>IF(INDEX('Current List'!$S:$S,MATCH($B53,'Current List'!$A:$A,0))=0,"",INDEX('Current List'!$S:$S,MATCH($B53,'Current List'!$A:$A,0)))</f>
        <v/>
      </c>
      <c r="L53" s="31">
        <f>IFERROR(IF(ISNUMBER(K53),K53,VALUE(LEFT(K53,1))),Assumptions!$B$4)</f>
        <v/>
      </c>
      <c r="M53" s="31">
        <f>IF(K53="","TBD","Confirmed")</f>
        <v/>
      </c>
      <c r="N53" s="32">
        <f>INDEX('Current List'!$T:$T,MATCH($B53,'Current List'!$A:$A,0))</f>
        <v/>
      </c>
      <c r="O53" s="32">
        <f>WORKDAY(N53,-Assumptions!$B$5)</f>
        <v/>
      </c>
      <c r="P53" s="32">
        <f>WORKDAY(O53,-VLOOKUP(A53,Assumptions!$A$11:$B$16,2,FALSE))</f>
        <v/>
      </c>
      <c r="Q53" s="32">
        <f>P53-WEEKDAY(P53,3)</f>
        <v/>
      </c>
      <c r="R53" s="32">
        <f>INDEX('Current List'!$U:$U,MATCH($B53,'Current List'!$A:$A,0))</f>
        <v/>
      </c>
      <c r="S53" s="31">
        <f>TRIM(IF(J53&lt;&gt;"Approved","Layout not validated; ","")&amp;IF(M53="TBD","Config TBD (default units); ","")&amp;IF(H53="TBD","Labor TBD; ","")&amp;IF(A53="Outlier","Remote / out of route; ","")&amp;IF(A53="South TX","Long haul; ",""))</f>
        <v/>
      </c>
    </row>
    <row r="54">
      <c r="A54" s="31" t="inlineStr">
        <is>
          <t>Austin / Central</t>
        </is>
      </c>
      <c r="B54" s="31" t="inlineStr">
        <is>
          <t>189024</t>
        </is>
      </c>
      <c r="C54" s="31" t="n">
        <v>928</v>
      </c>
      <c r="D54" s="31" t="inlineStr">
        <is>
          <t>Round Rock</t>
        </is>
      </c>
      <c r="E54" s="31" t="inlineStr">
        <is>
          <t>TX</t>
        </is>
      </c>
      <c r="F54" s="31" t="inlineStr">
        <is>
          <t>78681</t>
        </is>
      </c>
      <c r="G54" s="31">
        <f>INDEX('Current List'!$L:$L,MATCH($B54,'Current List'!$A:$A,0))</f>
        <v/>
      </c>
      <c r="H54" s="31">
        <f>IF(INDEX('Current List'!$O:$O,MATCH($B54,'Current List'!$A:$A,0))=0,"TBD",INDEX('Current List'!$O:$O,MATCH($B54,'Current List'!$A:$A,0)))</f>
        <v/>
      </c>
      <c r="I54" s="31">
        <f>IF(OR(INDEX('Current List'!$R:$R,MATCH($B54,'Current List'!$A:$A,0))=0,INDEX('Current List'!$R:$R,MATCH($B54,'Current List'!$A:$A,0))="N/A"),"-",INDEX('Current List'!$R:$R,MATCH($B54,'Current List'!$A:$A,0)))</f>
        <v/>
      </c>
      <c r="J54" s="31">
        <f>INDEX('Current List'!$N:$N,MATCH($B54,'Current List'!$A:$A,0))</f>
        <v/>
      </c>
      <c r="K54" s="31">
        <f>IF(INDEX('Current List'!$S:$S,MATCH($B54,'Current List'!$A:$A,0))=0,"",INDEX('Current List'!$S:$S,MATCH($B54,'Current List'!$A:$A,0)))</f>
        <v/>
      </c>
      <c r="L54" s="31">
        <f>IFERROR(IF(ISNUMBER(K54),K54,VALUE(LEFT(K54,1))),Assumptions!$B$4)</f>
        <v/>
      </c>
      <c r="M54" s="31">
        <f>IF(K54="","TBD","Confirmed")</f>
        <v/>
      </c>
      <c r="N54" s="32">
        <f>INDEX('Current List'!$T:$T,MATCH($B54,'Current List'!$A:$A,0))</f>
        <v/>
      </c>
      <c r="O54" s="32">
        <f>WORKDAY(N54,-Assumptions!$B$5)</f>
        <v/>
      </c>
      <c r="P54" s="32">
        <f>WORKDAY(O54,-VLOOKUP(A54,Assumptions!$A$11:$B$16,2,FALSE))</f>
        <v/>
      </c>
      <c r="Q54" s="32">
        <f>P54-WEEKDAY(P54,3)</f>
        <v/>
      </c>
      <c r="R54" s="32">
        <f>INDEX('Current List'!$U:$U,MATCH($B54,'Current List'!$A:$A,0))</f>
        <v/>
      </c>
      <c r="S54" s="31">
        <f>TRIM(IF(J54&lt;&gt;"Approved","Layout not validated; ","")&amp;IF(M54="TBD","Config TBD (default units); ","")&amp;IF(H54="TBD","Labor TBD; ","")&amp;IF(A54="Outlier","Remote / out of route; ","")&amp;IF(A54="South TX","Long haul; ",""))</f>
        <v/>
      </c>
    </row>
    <row r="55">
      <c r="A55" s="31" t="inlineStr">
        <is>
          <t>San Antonio</t>
        </is>
      </c>
      <c r="B55" s="31" t="inlineStr">
        <is>
          <t>190030</t>
        </is>
      </c>
      <c r="C55" s="31" t="n">
        <v>10633</v>
      </c>
      <c r="D55" s="31" t="inlineStr">
        <is>
          <t>San Antonio</t>
        </is>
      </c>
      <c r="E55" s="31" t="inlineStr">
        <is>
          <t>TX</t>
        </is>
      </c>
      <c r="F55" s="31" t="inlineStr">
        <is>
          <t>78223</t>
        </is>
      </c>
      <c r="G55" s="31">
        <f>INDEX('Current List'!$L:$L,MATCH($B55,'Current List'!$A:$A,0))</f>
        <v/>
      </c>
      <c r="H55" s="31">
        <f>IF(INDEX('Current List'!$O:$O,MATCH($B55,'Current List'!$A:$A,0))=0,"TBD",INDEX('Current List'!$O:$O,MATCH($B55,'Current List'!$A:$A,0)))</f>
        <v/>
      </c>
      <c r="I55" s="31">
        <f>IF(OR(INDEX('Current List'!$R:$R,MATCH($B55,'Current List'!$A:$A,0))=0,INDEX('Current List'!$R:$R,MATCH($B55,'Current List'!$A:$A,0))="N/A"),"-",INDEX('Current List'!$R:$R,MATCH($B55,'Current List'!$A:$A,0)))</f>
        <v/>
      </c>
      <c r="J55" s="31">
        <f>INDEX('Current List'!$N:$N,MATCH($B55,'Current List'!$A:$A,0))</f>
        <v/>
      </c>
      <c r="K55" s="31">
        <f>IF(INDEX('Current List'!$S:$S,MATCH($B55,'Current List'!$A:$A,0))=0,"",INDEX('Current List'!$S:$S,MATCH($B55,'Current List'!$A:$A,0)))</f>
        <v/>
      </c>
      <c r="L55" s="31">
        <f>IFERROR(IF(ISNUMBER(K55),K55,VALUE(LEFT(K55,1))),Assumptions!$B$4)</f>
        <v/>
      </c>
      <c r="M55" s="31">
        <f>IF(K55="","TBD","Confirmed")</f>
        <v/>
      </c>
      <c r="N55" s="32">
        <f>INDEX('Current List'!$T:$T,MATCH($B55,'Current List'!$A:$A,0))</f>
        <v/>
      </c>
      <c r="O55" s="32">
        <f>WORKDAY(N55,-Assumptions!$B$5)</f>
        <v/>
      </c>
      <c r="P55" s="32">
        <f>WORKDAY(O55,-VLOOKUP(A55,Assumptions!$A$11:$B$16,2,FALSE))</f>
        <v/>
      </c>
      <c r="Q55" s="32">
        <f>P55-WEEKDAY(P55,3)</f>
        <v/>
      </c>
      <c r="R55" s="32">
        <f>INDEX('Current List'!$U:$U,MATCH($B55,'Current List'!$A:$A,0))</f>
        <v/>
      </c>
      <c r="S55" s="31">
        <f>TRIM(IF(J55&lt;&gt;"Approved","Layout not validated; ","")&amp;IF(M55="TBD","Config TBD (default units); ","")&amp;IF(H55="TBD","Labor TBD; ","")&amp;IF(A55="Outlier","Remote / out of route; ","")&amp;IF(A55="South TX","Long haul; ",""))</f>
        <v/>
      </c>
    </row>
    <row r="56">
      <c r="A56" s="31" t="inlineStr">
        <is>
          <t>San Antonio</t>
        </is>
      </c>
      <c r="B56" s="31" t="inlineStr">
        <is>
          <t>190028</t>
        </is>
      </c>
      <c r="C56" s="31" t="n">
        <v>10947</v>
      </c>
      <c r="D56" s="31" t="inlineStr">
        <is>
          <t>New Braunfels</t>
        </is>
      </c>
      <c r="E56" s="31" t="inlineStr">
        <is>
          <t>TX</t>
        </is>
      </c>
      <c r="F56" s="31" t="inlineStr">
        <is>
          <t>78132</t>
        </is>
      </c>
      <c r="G56" s="31">
        <f>INDEX('Current List'!$L:$L,MATCH($B56,'Current List'!$A:$A,0))</f>
        <v/>
      </c>
      <c r="H56" s="31">
        <f>IF(INDEX('Current List'!$O:$O,MATCH($B56,'Current List'!$A:$A,0))=0,"TBD",INDEX('Current List'!$O:$O,MATCH($B56,'Current List'!$A:$A,0)))</f>
        <v/>
      </c>
      <c r="I56" s="31">
        <f>IF(OR(INDEX('Current List'!$R:$R,MATCH($B56,'Current List'!$A:$A,0))=0,INDEX('Current List'!$R:$R,MATCH($B56,'Current List'!$A:$A,0))="N/A"),"-",INDEX('Current List'!$R:$R,MATCH($B56,'Current List'!$A:$A,0)))</f>
        <v/>
      </c>
      <c r="J56" s="31">
        <f>INDEX('Current List'!$N:$N,MATCH($B56,'Current List'!$A:$A,0))</f>
        <v/>
      </c>
      <c r="K56" s="31">
        <f>IF(INDEX('Current List'!$S:$S,MATCH($B56,'Current List'!$A:$A,0))=0,"",INDEX('Current List'!$S:$S,MATCH($B56,'Current List'!$A:$A,0)))</f>
        <v/>
      </c>
      <c r="L56" s="31">
        <f>IFERROR(IF(ISNUMBER(K56),K56,VALUE(LEFT(K56,1))),Assumptions!$B$4)</f>
        <v/>
      </c>
      <c r="M56" s="31">
        <f>IF(K56="","TBD","Confirmed")</f>
        <v/>
      </c>
      <c r="N56" s="32">
        <f>INDEX('Current List'!$T:$T,MATCH($B56,'Current List'!$A:$A,0))</f>
        <v/>
      </c>
      <c r="O56" s="32">
        <f>WORKDAY(N56,-Assumptions!$B$5)</f>
        <v/>
      </c>
      <c r="P56" s="32">
        <f>WORKDAY(O56,-VLOOKUP(A56,Assumptions!$A$11:$B$16,2,FALSE))</f>
        <v/>
      </c>
      <c r="Q56" s="32">
        <f>P56-WEEKDAY(P56,3)</f>
        <v/>
      </c>
      <c r="R56" s="32">
        <f>INDEX('Current List'!$U:$U,MATCH($B56,'Current List'!$A:$A,0))</f>
        <v/>
      </c>
      <c r="S56" s="31">
        <f>TRIM(IF(J56&lt;&gt;"Approved","Layout not validated; ","")&amp;IF(M56="TBD","Config TBD (default units); ","")&amp;IF(H56="TBD","Labor TBD; ","")&amp;IF(A56="Outlier","Remote / out of route; ","")&amp;IF(A56="South TX","Long haul; ",""))</f>
        <v/>
      </c>
    </row>
    <row r="57">
      <c r="A57" s="31" t="inlineStr">
        <is>
          <t>San Antonio</t>
        </is>
      </c>
      <c r="B57" s="31" t="inlineStr">
        <is>
          <t>190029</t>
        </is>
      </c>
      <c r="C57" s="31" t="n">
        <v>10750</v>
      </c>
      <c r="D57" s="31" t="inlineStr">
        <is>
          <t>San Antonio</t>
        </is>
      </c>
      <c r="E57" s="31" t="inlineStr">
        <is>
          <t>TX</t>
        </is>
      </c>
      <c r="F57" s="31" t="inlineStr">
        <is>
          <t>78254</t>
        </is>
      </c>
      <c r="G57" s="31">
        <f>INDEX('Current List'!$L:$L,MATCH($B57,'Current List'!$A:$A,0))</f>
        <v/>
      </c>
      <c r="H57" s="31">
        <f>IF(INDEX('Current List'!$O:$O,MATCH($B57,'Current List'!$A:$A,0))=0,"TBD",INDEX('Current List'!$O:$O,MATCH($B57,'Current List'!$A:$A,0)))</f>
        <v/>
      </c>
      <c r="I57" s="31">
        <f>IF(OR(INDEX('Current List'!$R:$R,MATCH($B57,'Current List'!$A:$A,0))=0,INDEX('Current List'!$R:$R,MATCH($B57,'Current List'!$A:$A,0))="N/A"),"-",INDEX('Current List'!$R:$R,MATCH($B57,'Current List'!$A:$A,0)))</f>
        <v/>
      </c>
      <c r="J57" s="31">
        <f>INDEX('Current List'!$N:$N,MATCH($B57,'Current List'!$A:$A,0))</f>
        <v/>
      </c>
      <c r="K57" s="31">
        <f>IF(INDEX('Current List'!$S:$S,MATCH($B57,'Current List'!$A:$A,0))=0,"",INDEX('Current List'!$S:$S,MATCH($B57,'Current List'!$A:$A,0)))</f>
        <v/>
      </c>
      <c r="L57" s="31">
        <f>IFERROR(IF(ISNUMBER(K57),K57,VALUE(LEFT(K57,1))),Assumptions!$B$4)</f>
        <v/>
      </c>
      <c r="M57" s="31">
        <f>IF(K57="","TBD","Confirmed")</f>
        <v/>
      </c>
      <c r="N57" s="32">
        <f>INDEX('Current List'!$T:$T,MATCH($B57,'Current List'!$A:$A,0))</f>
        <v/>
      </c>
      <c r="O57" s="32">
        <f>WORKDAY(N57,-Assumptions!$B$5)</f>
        <v/>
      </c>
      <c r="P57" s="32">
        <f>WORKDAY(O57,-VLOOKUP(A57,Assumptions!$A$11:$B$16,2,FALSE))</f>
        <v/>
      </c>
      <c r="Q57" s="32">
        <f>P57-WEEKDAY(P57,3)</f>
        <v/>
      </c>
      <c r="R57" s="32">
        <f>INDEX('Current List'!$U:$U,MATCH($B57,'Current List'!$A:$A,0))</f>
        <v/>
      </c>
      <c r="S57" s="31">
        <f>TRIM(IF(J57&lt;&gt;"Approved","Layout not validated; ","")&amp;IF(M57="TBD","Config TBD (default units); ","")&amp;IF(H57="TBD","Labor TBD; ","")&amp;IF(A57="Outlier","Remote / out of route; ","")&amp;IF(A57="South TX","Long haul; ",""))</f>
        <v/>
      </c>
    </row>
    <row r="58">
      <c r="A58" s="31" t="inlineStr">
        <is>
          <t>San Antonio</t>
        </is>
      </c>
      <c r="B58" s="31" t="inlineStr">
        <is>
          <t>189984</t>
        </is>
      </c>
      <c r="C58" s="31" t="n">
        <v>10595</v>
      </c>
      <c r="D58" s="31" t="inlineStr">
        <is>
          <t>Cibolo</t>
        </is>
      </c>
      <c r="E58" s="31" t="inlineStr">
        <is>
          <t>TX</t>
        </is>
      </c>
      <c r="F58" s="31" t="inlineStr">
        <is>
          <t>78108</t>
        </is>
      </c>
      <c r="G58" s="31">
        <f>INDEX('Current List'!$L:$L,MATCH($B58,'Current List'!$A:$A,0))</f>
        <v/>
      </c>
      <c r="H58" s="31">
        <f>IF(INDEX('Current List'!$O:$O,MATCH($B58,'Current List'!$A:$A,0))=0,"TBD",INDEX('Current List'!$O:$O,MATCH($B58,'Current List'!$A:$A,0)))</f>
        <v/>
      </c>
      <c r="I58" s="31">
        <f>IF(OR(INDEX('Current List'!$R:$R,MATCH($B58,'Current List'!$A:$A,0))=0,INDEX('Current List'!$R:$R,MATCH($B58,'Current List'!$A:$A,0))="N/A"),"-",INDEX('Current List'!$R:$R,MATCH($B58,'Current List'!$A:$A,0)))</f>
        <v/>
      </c>
      <c r="J58" s="31">
        <f>INDEX('Current List'!$N:$N,MATCH($B58,'Current List'!$A:$A,0))</f>
        <v/>
      </c>
      <c r="K58" s="31">
        <f>IF(INDEX('Current List'!$S:$S,MATCH($B58,'Current List'!$A:$A,0))=0,"",INDEX('Current List'!$S:$S,MATCH($B58,'Current List'!$A:$A,0)))</f>
        <v/>
      </c>
      <c r="L58" s="31">
        <f>IFERROR(IF(ISNUMBER(K58),K58,VALUE(LEFT(K58,1))),Assumptions!$B$4)</f>
        <v/>
      </c>
      <c r="M58" s="31">
        <f>IF(K58="","TBD","Confirmed")</f>
        <v/>
      </c>
      <c r="N58" s="32">
        <f>INDEX('Current List'!$T:$T,MATCH($B58,'Current List'!$A:$A,0))</f>
        <v/>
      </c>
      <c r="O58" s="32">
        <f>WORKDAY(N58,-Assumptions!$B$5)</f>
        <v/>
      </c>
      <c r="P58" s="32">
        <f>WORKDAY(O58,-VLOOKUP(A58,Assumptions!$A$11:$B$16,2,FALSE))</f>
        <v/>
      </c>
      <c r="Q58" s="32">
        <f>P58-WEEKDAY(P58,3)</f>
        <v/>
      </c>
      <c r="R58" s="32">
        <f>INDEX('Current List'!$U:$U,MATCH($B58,'Current List'!$A:$A,0))</f>
        <v/>
      </c>
      <c r="S58" s="31">
        <f>TRIM(IF(J58&lt;&gt;"Approved","Layout not validated; ","")&amp;IF(M58="TBD","Config TBD (default units); ","")&amp;IF(H58="TBD","Labor TBD; ","")&amp;IF(A58="Outlier","Remote / out of route; ","")&amp;IF(A58="South TX","Long haul; ",""))</f>
        <v/>
      </c>
    </row>
    <row r="59">
      <c r="A59" s="31" t="inlineStr">
        <is>
          <t>San Antonio</t>
        </is>
      </c>
      <c r="B59" s="31" t="inlineStr">
        <is>
          <t>189526</t>
        </is>
      </c>
      <c r="C59" s="31" t="n">
        <v>7307</v>
      </c>
      <c r="D59" s="31" t="inlineStr">
        <is>
          <t>San Antonio</t>
        </is>
      </c>
      <c r="E59" s="31" t="inlineStr">
        <is>
          <t>TX</t>
        </is>
      </c>
      <c r="F59" s="31" t="inlineStr">
        <is>
          <t>78201</t>
        </is>
      </c>
      <c r="G59" s="31">
        <f>INDEX('Current List'!$L:$L,MATCH($B59,'Current List'!$A:$A,0))</f>
        <v/>
      </c>
      <c r="H59" s="31">
        <f>IF(INDEX('Current List'!$O:$O,MATCH($B59,'Current List'!$A:$A,0))=0,"TBD",INDEX('Current List'!$O:$O,MATCH($B59,'Current List'!$A:$A,0)))</f>
        <v/>
      </c>
      <c r="I59" s="31">
        <f>IF(OR(INDEX('Current List'!$R:$R,MATCH($B59,'Current List'!$A:$A,0))=0,INDEX('Current List'!$R:$R,MATCH($B59,'Current List'!$A:$A,0))="N/A"),"-",INDEX('Current List'!$R:$R,MATCH($B59,'Current List'!$A:$A,0)))</f>
        <v/>
      </c>
      <c r="J59" s="31">
        <f>INDEX('Current List'!$N:$N,MATCH($B59,'Current List'!$A:$A,0))</f>
        <v/>
      </c>
      <c r="K59" s="31">
        <f>IF(INDEX('Current List'!$S:$S,MATCH($B59,'Current List'!$A:$A,0))=0,"",INDEX('Current List'!$S:$S,MATCH($B59,'Current List'!$A:$A,0)))</f>
        <v/>
      </c>
      <c r="L59" s="31">
        <f>IFERROR(IF(ISNUMBER(K59),K59,VALUE(LEFT(K59,1))),Assumptions!$B$4)</f>
        <v/>
      </c>
      <c r="M59" s="31">
        <f>IF(K59="","TBD","Confirmed")</f>
        <v/>
      </c>
      <c r="N59" s="32">
        <f>INDEX('Current List'!$T:$T,MATCH($B59,'Current List'!$A:$A,0))</f>
        <v/>
      </c>
      <c r="O59" s="32">
        <f>WORKDAY(N59,-Assumptions!$B$5)</f>
        <v/>
      </c>
      <c r="P59" s="32">
        <f>WORKDAY(O59,-VLOOKUP(A59,Assumptions!$A$11:$B$16,2,FALSE))</f>
        <v/>
      </c>
      <c r="Q59" s="32">
        <f>P59-WEEKDAY(P59,3)</f>
        <v/>
      </c>
      <c r="R59" s="32">
        <f>INDEX('Current List'!$U:$U,MATCH($B59,'Current List'!$A:$A,0))</f>
        <v/>
      </c>
      <c r="S59" s="31">
        <f>TRIM(IF(J59&lt;&gt;"Approved","Layout not validated; ","")&amp;IF(M59="TBD","Config TBD (default units); ","")&amp;IF(H59="TBD","Labor TBD; ","")&amp;IF(A59="Outlier","Remote / out of route; ","")&amp;IF(A59="South TX","Long haul; ",""))</f>
        <v/>
      </c>
    </row>
    <row r="60">
      <c r="A60" s="31" t="inlineStr">
        <is>
          <t>San Antonio</t>
        </is>
      </c>
      <c r="B60" s="31" t="inlineStr">
        <is>
          <t>189983</t>
        </is>
      </c>
      <c r="C60" s="31" t="n">
        <v>10579</v>
      </c>
      <c r="D60" s="31" t="inlineStr">
        <is>
          <t>Alamo Heights</t>
        </is>
      </c>
      <c r="E60" s="31" t="inlineStr">
        <is>
          <t>TX</t>
        </is>
      </c>
      <c r="F60" s="31" t="inlineStr">
        <is>
          <t>78209</t>
        </is>
      </c>
      <c r="G60" s="31">
        <f>INDEX('Current List'!$L:$L,MATCH($B60,'Current List'!$A:$A,0))</f>
        <v/>
      </c>
      <c r="H60" s="31">
        <f>IF(INDEX('Current List'!$O:$O,MATCH($B60,'Current List'!$A:$A,0))=0,"TBD",INDEX('Current List'!$O:$O,MATCH($B60,'Current List'!$A:$A,0)))</f>
        <v/>
      </c>
      <c r="I60" s="31">
        <f>IF(OR(INDEX('Current List'!$R:$R,MATCH($B60,'Current List'!$A:$A,0))=0,INDEX('Current List'!$R:$R,MATCH($B60,'Current List'!$A:$A,0))="N/A"),"-",INDEX('Current List'!$R:$R,MATCH($B60,'Current List'!$A:$A,0)))</f>
        <v/>
      </c>
      <c r="J60" s="31">
        <f>INDEX('Current List'!$N:$N,MATCH($B60,'Current List'!$A:$A,0))</f>
        <v/>
      </c>
      <c r="K60" s="31">
        <f>IF(INDEX('Current List'!$S:$S,MATCH($B60,'Current List'!$A:$A,0))=0,"",INDEX('Current List'!$S:$S,MATCH($B60,'Current List'!$A:$A,0)))</f>
        <v/>
      </c>
      <c r="L60" s="31">
        <f>IFERROR(IF(ISNUMBER(K60),K60,VALUE(LEFT(K60,1))),Assumptions!$B$4)</f>
        <v/>
      </c>
      <c r="M60" s="31">
        <f>IF(K60="","TBD","Confirmed")</f>
        <v/>
      </c>
      <c r="N60" s="32">
        <f>INDEX('Current List'!$T:$T,MATCH($B60,'Current List'!$A:$A,0))</f>
        <v/>
      </c>
      <c r="O60" s="32">
        <f>WORKDAY(N60,-Assumptions!$B$5)</f>
        <v/>
      </c>
      <c r="P60" s="32">
        <f>WORKDAY(O60,-VLOOKUP(A60,Assumptions!$A$11:$B$16,2,FALSE))</f>
        <v/>
      </c>
      <c r="Q60" s="32">
        <f>P60-WEEKDAY(P60,3)</f>
        <v/>
      </c>
      <c r="R60" s="32">
        <f>INDEX('Current List'!$U:$U,MATCH($B60,'Current List'!$A:$A,0))</f>
        <v/>
      </c>
      <c r="S60" s="31">
        <f>TRIM(IF(J60&lt;&gt;"Approved","Layout not validated; ","")&amp;IF(M60="TBD","Config TBD (default units); ","")&amp;IF(H60="TBD","Labor TBD; ","")&amp;IF(A60="Outlier","Remote / out of route; ","")&amp;IF(A60="South TX","Long haul; ",""))</f>
        <v/>
      </c>
    </row>
    <row r="61">
      <c r="A61" s="31" t="inlineStr">
        <is>
          <t>San Antonio</t>
        </is>
      </c>
      <c r="B61" s="31" t="inlineStr">
        <is>
          <t>189524</t>
        </is>
      </c>
      <c r="C61" s="31" t="n">
        <v>7808</v>
      </c>
      <c r="D61" s="31" t="inlineStr">
        <is>
          <t>San Antonio</t>
        </is>
      </c>
      <c r="E61" s="31" t="inlineStr">
        <is>
          <t>TX</t>
        </is>
      </c>
      <c r="F61" s="31" t="inlineStr">
        <is>
          <t>78229</t>
        </is>
      </c>
      <c r="G61" s="31">
        <f>INDEX('Current List'!$L:$L,MATCH($B61,'Current List'!$A:$A,0))</f>
        <v/>
      </c>
      <c r="H61" s="31">
        <f>IF(INDEX('Current List'!$O:$O,MATCH($B61,'Current List'!$A:$A,0))=0,"TBD",INDEX('Current List'!$O:$O,MATCH($B61,'Current List'!$A:$A,0)))</f>
        <v/>
      </c>
      <c r="I61" s="31">
        <f>IF(OR(INDEX('Current List'!$R:$R,MATCH($B61,'Current List'!$A:$A,0))=0,INDEX('Current List'!$R:$R,MATCH($B61,'Current List'!$A:$A,0))="N/A"),"-",INDEX('Current List'!$R:$R,MATCH($B61,'Current List'!$A:$A,0)))</f>
        <v/>
      </c>
      <c r="J61" s="31">
        <f>INDEX('Current List'!$N:$N,MATCH($B61,'Current List'!$A:$A,0))</f>
        <v/>
      </c>
      <c r="K61" s="31">
        <f>IF(INDEX('Current List'!$S:$S,MATCH($B61,'Current List'!$A:$A,0))=0,"",INDEX('Current List'!$S:$S,MATCH($B61,'Current List'!$A:$A,0)))</f>
        <v/>
      </c>
      <c r="L61" s="31">
        <f>IFERROR(IF(ISNUMBER(K61),K61,VALUE(LEFT(K61,1))),Assumptions!$B$4)</f>
        <v/>
      </c>
      <c r="M61" s="31">
        <f>IF(K61="","TBD","Confirmed")</f>
        <v/>
      </c>
      <c r="N61" s="32">
        <f>INDEX('Current List'!$T:$T,MATCH($B61,'Current List'!$A:$A,0))</f>
        <v/>
      </c>
      <c r="O61" s="32">
        <f>WORKDAY(N61,-Assumptions!$B$5)</f>
        <v/>
      </c>
      <c r="P61" s="32">
        <f>WORKDAY(O61,-VLOOKUP(A61,Assumptions!$A$11:$B$16,2,FALSE))</f>
        <v/>
      </c>
      <c r="Q61" s="32">
        <f>P61-WEEKDAY(P61,3)</f>
        <v/>
      </c>
      <c r="R61" s="32">
        <f>INDEX('Current List'!$U:$U,MATCH($B61,'Current List'!$A:$A,0))</f>
        <v/>
      </c>
      <c r="S61" s="31">
        <f>TRIM(IF(J61&lt;&gt;"Approved","Layout not validated; ","")&amp;IF(M61="TBD","Config TBD (default units); ","")&amp;IF(H61="TBD","Labor TBD; ","")&amp;IF(A61="Outlier","Remote / out of route; ","")&amp;IF(A61="South TX","Long haul; ",""))</f>
        <v/>
      </c>
    </row>
    <row r="62">
      <c r="A62" s="31" t="inlineStr">
        <is>
          <t>San Antonio</t>
        </is>
      </c>
      <c r="B62" s="31" t="inlineStr">
        <is>
          <t>189525</t>
        </is>
      </c>
      <c r="C62" s="31" t="n">
        <v>7784</v>
      </c>
      <c r="D62" s="31" t="inlineStr">
        <is>
          <t>Seguin</t>
        </is>
      </c>
      <c r="E62" s="31" t="inlineStr">
        <is>
          <t>TX</t>
        </is>
      </c>
      <c r="F62" s="31" t="inlineStr">
        <is>
          <t>78155</t>
        </is>
      </c>
      <c r="G62" s="31">
        <f>INDEX('Current List'!$L:$L,MATCH($B62,'Current List'!$A:$A,0))</f>
        <v/>
      </c>
      <c r="H62" s="31">
        <f>IF(INDEX('Current List'!$O:$O,MATCH($B62,'Current List'!$A:$A,0))=0,"TBD",INDEX('Current List'!$O:$O,MATCH($B62,'Current List'!$A:$A,0)))</f>
        <v/>
      </c>
      <c r="I62" s="31">
        <f>IF(OR(INDEX('Current List'!$R:$R,MATCH($B62,'Current List'!$A:$A,0))=0,INDEX('Current List'!$R:$R,MATCH($B62,'Current List'!$A:$A,0))="N/A"),"-",INDEX('Current List'!$R:$R,MATCH($B62,'Current List'!$A:$A,0)))</f>
        <v/>
      </c>
      <c r="J62" s="31">
        <f>INDEX('Current List'!$N:$N,MATCH($B62,'Current List'!$A:$A,0))</f>
        <v/>
      </c>
      <c r="K62" s="31">
        <f>IF(INDEX('Current List'!$S:$S,MATCH($B62,'Current List'!$A:$A,0))=0,"",INDEX('Current List'!$S:$S,MATCH($B62,'Current List'!$A:$A,0)))</f>
        <v/>
      </c>
      <c r="L62" s="31">
        <f>IFERROR(IF(ISNUMBER(K62),K62,VALUE(LEFT(K62,1))),Assumptions!$B$4)</f>
        <v/>
      </c>
      <c r="M62" s="31">
        <f>IF(K62="","TBD","Confirmed")</f>
        <v/>
      </c>
      <c r="N62" s="32">
        <f>INDEX('Current List'!$T:$T,MATCH($B62,'Current List'!$A:$A,0))</f>
        <v/>
      </c>
      <c r="O62" s="32">
        <f>WORKDAY(N62,-Assumptions!$B$5)</f>
        <v/>
      </c>
      <c r="P62" s="32">
        <f>WORKDAY(O62,-VLOOKUP(A62,Assumptions!$A$11:$B$16,2,FALSE))</f>
        <v/>
      </c>
      <c r="Q62" s="32">
        <f>P62-WEEKDAY(P62,3)</f>
        <v/>
      </c>
      <c r="R62" s="32">
        <f>INDEX('Current List'!$U:$U,MATCH($B62,'Current List'!$A:$A,0))</f>
        <v/>
      </c>
      <c r="S62" s="31">
        <f>TRIM(IF(J62&lt;&gt;"Approved","Layout not validated; ","")&amp;IF(M62="TBD","Config TBD (default units); ","")&amp;IF(H62="TBD","Labor TBD; ","")&amp;IF(A62="Outlier","Remote / out of route; ","")&amp;IF(A62="South TX","Long haul; ",""))</f>
        <v/>
      </c>
    </row>
    <row r="63">
      <c r="A63" s="31" t="inlineStr">
        <is>
          <t>South TX</t>
        </is>
      </c>
      <c r="B63" s="31" t="inlineStr">
        <is>
          <t>189422</t>
        </is>
      </c>
      <c r="C63" s="31" t="n">
        <v>5651</v>
      </c>
      <c r="D63" s="31" t="inlineStr">
        <is>
          <t>Weslaco</t>
        </is>
      </c>
      <c r="E63" s="31" t="inlineStr">
        <is>
          <t>TX</t>
        </is>
      </c>
      <c r="F63" s="31" t="inlineStr">
        <is>
          <t>78596</t>
        </is>
      </c>
      <c r="G63" s="31">
        <f>INDEX('Current List'!$L:$L,MATCH($B63,'Current List'!$A:$A,0))</f>
        <v/>
      </c>
      <c r="H63" s="31">
        <f>IF(INDEX('Current List'!$O:$O,MATCH($B63,'Current List'!$A:$A,0))=0,"TBD",INDEX('Current List'!$O:$O,MATCH($B63,'Current List'!$A:$A,0)))</f>
        <v/>
      </c>
      <c r="I63" s="31">
        <f>IF(OR(INDEX('Current List'!$R:$R,MATCH($B63,'Current List'!$A:$A,0))=0,INDEX('Current List'!$R:$R,MATCH($B63,'Current List'!$A:$A,0))="N/A"),"-",INDEX('Current List'!$R:$R,MATCH($B63,'Current List'!$A:$A,0)))</f>
        <v/>
      </c>
      <c r="J63" s="31">
        <f>INDEX('Current List'!$N:$N,MATCH($B63,'Current List'!$A:$A,0))</f>
        <v/>
      </c>
      <c r="K63" s="31">
        <f>IF(INDEX('Current List'!$S:$S,MATCH($B63,'Current List'!$A:$A,0))=0,"",INDEX('Current List'!$S:$S,MATCH($B63,'Current List'!$A:$A,0)))</f>
        <v/>
      </c>
      <c r="L63" s="31">
        <f>IFERROR(IF(ISNUMBER(K63),K63,VALUE(LEFT(K63,1))),Assumptions!$B$4)</f>
        <v/>
      </c>
      <c r="M63" s="31">
        <f>IF(K63="","TBD","Confirmed")</f>
        <v/>
      </c>
      <c r="N63" s="32">
        <f>INDEX('Current List'!$T:$T,MATCH($B63,'Current List'!$A:$A,0))</f>
        <v/>
      </c>
      <c r="O63" s="32">
        <f>WORKDAY(N63,-Assumptions!$B$5)</f>
        <v/>
      </c>
      <c r="P63" s="32">
        <f>WORKDAY(O63,-VLOOKUP(A63,Assumptions!$A$11:$B$16,2,FALSE))</f>
        <v/>
      </c>
      <c r="Q63" s="32">
        <f>P63-WEEKDAY(P63,3)</f>
        <v/>
      </c>
      <c r="R63" s="32">
        <f>INDEX('Current List'!$U:$U,MATCH($B63,'Current List'!$A:$A,0))</f>
        <v/>
      </c>
      <c r="S63" s="31">
        <f>TRIM(IF(J63&lt;&gt;"Approved","Layout not validated; ","")&amp;IF(M63="TBD","Config TBD (default units); ","")&amp;IF(H63="TBD","Labor TBD; ","")&amp;IF(A63="Outlier","Remote / out of route; ","")&amp;IF(A63="South TX","Long haul; ",""))</f>
        <v/>
      </c>
    </row>
    <row r="64">
      <c r="A64" s="31" t="inlineStr">
        <is>
          <t>South TX</t>
        </is>
      </c>
      <c r="B64" s="31" t="inlineStr">
        <is>
          <t>189978</t>
        </is>
      </c>
      <c r="C64" s="31" t="n">
        <v>10405</v>
      </c>
      <c r="D64" s="31" t="inlineStr">
        <is>
          <t>Edinburg</t>
        </is>
      </c>
      <c r="E64" s="31" t="inlineStr">
        <is>
          <t>TX</t>
        </is>
      </c>
      <c r="F64" s="31" t="inlineStr">
        <is>
          <t>78541</t>
        </is>
      </c>
      <c r="G64" s="31">
        <f>INDEX('Current List'!$L:$L,MATCH($B64,'Current List'!$A:$A,0))</f>
        <v/>
      </c>
      <c r="H64" s="31">
        <f>IF(INDEX('Current List'!$O:$O,MATCH($B64,'Current List'!$A:$A,0))=0,"TBD",INDEX('Current List'!$O:$O,MATCH($B64,'Current List'!$A:$A,0)))</f>
        <v/>
      </c>
      <c r="I64" s="31">
        <f>IF(OR(INDEX('Current List'!$R:$R,MATCH($B64,'Current List'!$A:$A,0))=0,INDEX('Current List'!$R:$R,MATCH($B64,'Current List'!$A:$A,0))="N/A"),"-",INDEX('Current List'!$R:$R,MATCH($B64,'Current List'!$A:$A,0)))</f>
        <v/>
      </c>
      <c r="J64" s="31">
        <f>INDEX('Current List'!$N:$N,MATCH($B64,'Current List'!$A:$A,0))</f>
        <v/>
      </c>
      <c r="K64" s="31">
        <f>IF(INDEX('Current List'!$S:$S,MATCH($B64,'Current List'!$A:$A,0))=0,"",INDEX('Current List'!$S:$S,MATCH($B64,'Current List'!$A:$A,0)))</f>
        <v/>
      </c>
      <c r="L64" s="31">
        <f>IFERROR(IF(ISNUMBER(K64),K64,VALUE(LEFT(K64,1))),Assumptions!$B$4)</f>
        <v/>
      </c>
      <c r="M64" s="31">
        <f>IF(K64="","TBD","Confirmed")</f>
        <v/>
      </c>
      <c r="N64" s="32">
        <f>INDEX('Current List'!$T:$T,MATCH($B64,'Current List'!$A:$A,0))</f>
        <v/>
      </c>
      <c r="O64" s="32">
        <f>WORKDAY(N64,-Assumptions!$B$5)</f>
        <v/>
      </c>
      <c r="P64" s="32">
        <f>WORKDAY(O64,-VLOOKUP(A64,Assumptions!$A$11:$B$16,2,FALSE))</f>
        <v/>
      </c>
      <c r="Q64" s="32">
        <f>P64-WEEKDAY(P64,3)</f>
        <v/>
      </c>
      <c r="R64" s="32">
        <f>INDEX('Current List'!$U:$U,MATCH($B64,'Current List'!$A:$A,0))</f>
        <v/>
      </c>
      <c r="S64" s="31">
        <f>TRIM(IF(J64&lt;&gt;"Approved","Layout not validated; ","")&amp;IF(M64="TBD","Config TBD (default units); ","")&amp;IF(H64="TBD","Labor TBD; ","")&amp;IF(A64="Outlier","Remote / out of route; ","")&amp;IF(A64="South TX","Long haul; ",""))</f>
        <v/>
      </c>
    </row>
    <row r="65">
      <c r="A65" s="31" t="inlineStr">
        <is>
          <t>South TX</t>
        </is>
      </c>
      <c r="B65" s="31" t="inlineStr">
        <is>
          <t>189926</t>
        </is>
      </c>
      <c r="C65" s="31" t="n">
        <v>10107</v>
      </c>
      <c r="D65" s="31" t="inlineStr">
        <is>
          <t>Mission</t>
        </is>
      </c>
      <c r="E65" s="31" t="inlineStr">
        <is>
          <t>TX</t>
        </is>
      </c>
      <c r="F65" s="31" t="inlineStr">
        <is>
          <t>78574</t>
        </is>
      </c>
      <c r="G65" s="31">
        <f>INDEX('Current List'!$L:$L,MATCH($B65,'Current List'!$A:$A,0))</f>
        <v/>
      </c>
      <c r="H65" s="31">
        <f>IF(INDEX('Current List'!$O:$O,MATCH($B65,'Current List'!$A:$A,0))=0,"TBD",INDEX('Current List'!$O:$O,MATCH($B65,'Current List'!$A:$A,0)))</f>
        <v/>
      </c>
      <c r="I65" s="31">
        <f>IF(OR(INDEX('Current List'!$R:$R,MATCH($B65,'Current List'!$A:$A,0))=0,INDEX('Current List'!$R:$R,MATCH($B65,'Current List'!$A:$A,0))="N/A"),"-",INDEX('Current List'!$R:$R,MATCH($B65,'Current List'!$A:$A,0)))</f>
        <v/>
      </c>
      <c r="J65" s="31">
        <f>INDEX('Current List'!$N:$N,MATCH($B65,'Current List'!$A:$A,0))</f>
        <v/>
      </c>
      <c r="K65" s="31">
        <f>IF(INDEX('Current List'!$S:$S,MATCH($B65,'Current List'!$A:$A,0))=0,"",INDEX('Current List'!$S:$S,MATCH($B65,'Current List'!$A:$A,0)))</f>
        <v/>
      </c>
      <c r="L65" s="31">
        <f>IFERROR(IF(ISNUMBER(K65),K65,VALUE(LEFT(K65,1))),Assumptions!$B$4)</f>
        <v/>
      </c>
      <c r="M65" s="31">
        <f>IF(K65="","TBD","Confirmed")</f>
        <v/>
      </c>
      <c r="N65" s="32">
        <f>INDEX('Current List'!$T:$T,MATCH($B65,'Current List'!$A:$A,0))</f>
        <v/>
      </c>
      <c r="O65" s="32">
        <f>WORKDAY(N65,-Assumptions!$B$5)</f>
        <v/>
      </c>
      <c r="P65" s="32">
        <f>WORKDAY(O65,-VLOOKUP(A65,Assumptions!$A$11:$B$16,2,FALSE))</f>
        <v/>
      </c>
      <c r="Q65" s="32">
        <f>P65-WEEKDAY(P65,3)</f>
        <v/>
      </c>
      <c r="R65" s="32">
        <f>INDEX('Current List'!$U:$U,MATCH($B65,'Current List'!$A:$A,0))</f>
        <v/>
      </c>
      <c r="S65" s="31">
        <f>TRIM(IF(J65&lt;&gt;"Approved","Layout not validated; ","")&amp;IF(M65="TBD","Config TBD (default units); ","")&amp;IF(H65="TBD","Labor TBD; ","")&amp;IF(A65="Outlier","Remote / out of route; ","")&amp;IF(A65="South TX","Long haul; ",""))</f>
        <v/>
      </c>
    </row>
    <row r="66">
      <c r="A66" s="31" t="inlineStr">
        <is>
          <t>South TX</t>
        </is>
      </c>
      <c r="B66" s="31" t="inlineStr">
        <is>
          <t>188919</t>
        </is>
      </c>
      <c r="C66" s="31" t="n">
        <v>248</v>
      </c>
      <c r="D66" s="31" t="inlineStr">
        <is>
          <t>Edinburg</t>
        </is>
      </c>
      <c r="E66" s="31" t="inlineStr">
        <is>
          <t>TX</t>
        </is>
      </c>
      <c r="F66" s="31" t="inlineStr">
        <is>
          <t>78539</t>
        </is>
      </c>
      <c r="G66" s="31">
        <f>INDEX('Current List'!$L:$L,MATCH($B66,'Current List'!$A:$A,0))</f>
        <v/>
      </c>
      <c r="H66" s="31">
        <f>IF(INDEX('Current List'!$O:$O,MATCH($B66,'Current List'!$A:$A,0))=0,"TBD",INDEX('Current List'!$O:$O,MATCH($B66,'Current List'!$A:$A,0)))</f>
        <v/>
      </c>
      <c r="I66" s="31">
        <f>IF(OR(INDEX('Current List'!$R:$R,MATCH($B66,'Current List'!$A:$A,0))=0,INDEX('Current List'!$R:$R,MATCH($B66,'Current List'!$A:$A,0))="N/A"),"-",INDEX('Current List'!$R:$R,MATCH($B66,'Current List'!$A:$A,0)))</f>
        <v/>
      </c>
      <c r="J66" s="31">
        <f>INDEX('Current List'!$N:$N,MATCH($B66,'Current List'!$A:$A,0))</f>
        <v/>
      </c>
      <c r="K66" s="31">
        <f>IF(INDEX('Current List'!$S:$S,MATCH($B66,'Current List'!$A:$A,0))=0,"",INDEX('Current List'!$S:$S,MATCH($B66,'Current List'!$A:$A,0)))</f>
        <v/>
      </c>
      <c r="L66" s="31">
        <f>IFERROR(IF(ISNUMBER(K66),K66,VALUE(LEFT(K66,1))),Assumptions!$B$4)</f>
        <v/>
      </c>
      <c r="M66" s="31">
        <f>IF(K66="","TBD","Confirmed")</f>
        <v/>
      </c>
      <c r="N66" s="32">
        <f>INDEX('Current List'!$T:$T,MATCH($B66,'Current List'!$A:$A,0))</f>
        <v/>
      </c>
      <c r="O66" s="32">
        <f>WORKDAY(N66,-Assumptions!$B$5)</f>
        <v/>
      </c>
      <c r="P66" s="32">
        <f>WORKDAY(O66,-VLOOKUP(A66,Assumptions!$A$11:$B$16,2,FALSE))</f>
        <v/>
      </c>
      <c r="Q66" s="32">
        <f>P66-WEEKDAY(P66,3)</f>
        <v/>
      </c>
      <c r="R66" s="32">
        <f>INDEX('Current List'!$U:$U,MATCH($B66,'Current List'!$A:$A,0))</f>
        <v/>
      </c>
      <c r="S66" s="31">
        <f>TRIM(IF(J66&lt;&gt;"Approved","Layout not validated; ","")&amp;IF(M66="TBD","Config TBD (default units); ","")&amp;IF(H66="TBD","Labor TBD; ","")&amp;IF(A66="Outlier","Remote / out of route; ","")&amp;IF(A66="South TX","Long haul; ",""))</f>
        <v/>
      </c>
    </row>
    <row r="67">
      <c r="A67" s="31" t="inlineStr">
        <is>
          <t>South TX</t>
        </is>
      </c>
      <c r="B67" s="31" t="inlineStr">
        <is>
          <t>189190</t>
        </is>
      </c>
      <c r="C67" s="31" t="n">
        <v>2328</v>
      </c>
      <c r="D67" s="31" t="inlineStr">
        <is>
          <t>Corpus Christi</t>
        </is>
      </c>
      <c r="E67" s="31" t="inlineStr">
        <is>
          <t>TX</t>
        </is>
      </c>
      <c r="F67" s="31" t="inlineStr">
        <is>
          <t>78404</t>
        </is>
      </c>
      <c r="G67" s="31">
        <f>INDEX('Current List'!$L:$L,MATCH($B67,'Current List'!$A:$A,0))</f>
        <v/>
      </c>
      <c r="H67" s="31">
        <f>IF(INDEX('Current List'!$O:$O,MATCH($B67,'Current List'!$A:$A,0))=0,"TBD",INDEX('Current List'!$O:$O,MATCH($B67,'Current List'!$A:$A,0)))</f>
        <v/>
      </c>
      <c r="I67" s="31">
        <f>IF(OR(INDEX('Current List'!$R:$R,MATCH($B67,'Current List'!$A:$A,0))=0,INDEX('Current List'!$R:$R,MATCH($B67,'Current List'!$A:$A,0))="N/A"),"-",INDEX('Current List'!$R:$R,MATCH($B67,'Current List'!$A:$A,0)))</f>
        <v/>
      </c>
      <c r="J67" s="31">
        <f>INDEX('Current List'!$N:$N,MATCH($B67,'Current List'!$A:$A,0))</f>
        <v/>
      </c>
      <c r="K67" s="31">
        <f>IF(INDEX('Current List'!$S:$S,MATCH($B67,'Current List'!$A:$A,0))=0,"",INDEX('Current List'!$S:$S,MATCH($B67,'Current List'!$A:$A,0)))</f>
        <v/>
      </c>
      <c r="L67" s="31">
        <f>IFERROR(IF(ISNUMBER(K67),K67,VALUE(LEFT(K67,1))),Assumptions!$B$4)</f>
        <v/>
      </c>
      <c r="M67" s="31">
        <f>IF(K67="","TBD","Confirmed")</f>
        <v/>
      </c>
      <c r="N67" s="32">
        <f>INDEX('Current List'!$T:$T,MATCH($B67,'Current List'!$A:$A,0))</f>
        <v/>
      </c>
      <c r="O67" s="32">
        <f>WORKDAY(N67,-Assumptions!$B$5)</f>
        <v/>
      </c>
      <c r="P67" s="32">
        <f>WORKDAY(O67,-VLOOKUP(A67,Assumptions!$A$11:$B$16,2,FALSE))</f>
        <v/>
      </c>
      <c r="Q67" s="32">
        <f>P67-WEEKDAY(P67,3)</f>
        <v/>
      </c>
      <c r="R67" s="32">
        <f>INDEX('Current List'!$U:$U,MATCH($B67,'Current List'!$A:$A,0))</f>
        <v/>
      </c>
      <c r="S67" s="31">
        <f>TRIM(IF(J67&lt;&gt;"Approved","Layout not validated; ","")&amp;IF(M67="TBD","Config TBD (default units); ","")&amp;IF(H67="TBD","Labor TBD; ","")&amp;IF(A67="Outlier","Remote / out of route; ","")&amp;IF(A67="South TX","Long haul; ",""))</f>
        <v/>
      </c>
    </row>
    <row r="68">
      <c r="A68" s="31" t="inlineStr">
        <is>
          <t>Outlier</t>
        </is>
      </c>
      <c r="B68" s="31" t="inlineStr">
        <is>
          <t>189977</t>
        </is>
      </c>
      <c r="C68" s="31" t="n">
        <v>10594</v>
      </c>
      <c r="D68" s="31" t="inlineStr">
        <is>
          <t>New Orleans</t>
        </is>
      </c>
      <c r="E68" s="31" t="inlineStr">
        <is>
          <t>LA</t>
        </is>
      </c>
      <c r="F68" s="31" t="inlineStr">
        <is>
          <t>70119</t>
        </is>
      </c>
      <c r="G68" s="31">
        <f>INDEX('Current List'!$L:$L,MATCH($B68,'Current List'!$A:$A,0))</f>
        <v/>
      </c>
      <c r="H68" s="31">
        <f>IF(INDEX('Current List'!$O:$O,MATCH($B68,'Current List'!$A:$A,0))=0,"TBD",INDEX('Current List'!$O:$O,MATCH($B68,'Current List'!$A:$A,0)))</f>
        <v/>
      </c>
      <c r="I68" s="31">
        <f>IF(OR(INDEX('Current List'!$R:$R,MATCH($B68,'Current List'!$A:$A,0))=0,INDEX('Current List'!$R:$R,MATCH($B68,'Current List'!$A:$A,0))="N/A"),"-",INDEX('Current List'!$R:$R,MATCH($B68,'Current List'!$A:$A,0)))</f>
        <v/>
      </c>
      <c r="J68" s="31">
        <f>INDEX('Current List'!$N:$N,MATCH($B68,'Current List'!$A:$A,0))</f>
        <v/>
      </c>
      <c r="K68" s="31">
        <f>IF(INDEX('Current List'!$S:$S,MATCH($B68,'Current List'!$A:$A,0))=0,"",INDEX('Current List'!$S:$S,MATCH($B68,'Current List'!$A:$A,0)))</f>
        <v/>
      </c>
      <c r="L68" s="31">
        <f>IFERROR(IF(ISNUMBER(K68),K68,VALUE(LEFT(K68,1))),Assumptions!$B$4)</f>
        <v/>
      </c>
      <c r="M68" s="31">
        <f>IF(K68="","TBD","Confirmed")</f>
        <v/>
      </c>
      <c r="N68" s="32">
        <f>INDEX('Current List'!$T:$T,MATCH($B68,'Current List'!$A:$A,0))</f>
        <v/>
      </c>
      <c r="O68" s="32">
        <f>WORKDAY(N68,-Assumptions!$B$5)</f>
        <v/>
      </c>
      <c r="P68" s="32">
        <f>WORKDAY(O68,-VLOOKUP(A68,Assumptions!$A$11:$B$16,2,FALSE))</f>
        <v/>
      </c>
      <c r="Q68" s="32">
        <f>P68-WEEKDAY(P68,3)</f>
        <v/>
      </c>
      <c r="R68" s="32">
        <f>INDEX('Current List'!$U:$U,MATCH($B68,'Current List'!$A:$A,0))</f>
        <v/>
      </c>
      <c r="S68" s="31">
        <f>TRIM(IF(J68&lt;&gt;"Approved","Layout not validated; ","")&amp;IF(M68="TBD","Config TBD (default units); ","")&amp;IF(H68="TBD","Labor TBD; ","")&amp;IF(A68="Outlier","Remote / out of route; ","")&amp;IF(A68="South TX","Long haul; ",""))</f>
        <v/>
      </c>
    </row>
    <row r="69">
      <c r="A69" s="31" t="inlineStr">
        <is>
          <t>Outlier</t>
        </is>
      </c>
      <c r="B69" s="31" t="inlineStr">
        <is>
          <t>189116</t>
        </is>
      </c>
      <c r="C69" s="31" t="n">
        <v>1543</v>
      </c>
      <c r="D69" s="31" t="inlineStr">
        <is>
          <t>Amarillo</t>
        </is>
      </c>
      <c r="E69" s="31" t="inlineStr">
        <is>
          <t>TX</t>
        </is>
      </c>
      <c r="F69" s="31" t="inlineStr">
        <is>
          <t>79119</t>
        </is>
      </c>
      <c r="G69" s="31">
        <f>INDEX('Current List'!$L:$L,MATCH($B69,'Current List'!$A:$A,0))</f>
        <v/>
      </c>
      <c r="H69" s="31">
        <f>IF(INDEX('Current List'!$O:$O,MATCH($B69,'Current List'!$A:$A,0))=0,"TBD",INDEX('Current List'!$O:$O,MATCH($B69,'Current List'!$A:$A,0)))</f>
        <v/>
      </c>
      <c r="I69" s="31">
        <f>IF(OR(INDEX('Current List'!$R:$R,MATCH($B69,'Current List'!$A:$A,0))=0,INDEX('Current List'!$R:$R,MATCH($B69,'Current List'!$A:$A,0))="N/A"),"-",INDEX('Current List'!$R:$R,MATCH($B69,'Current List'!$A:$A,0)))</f>
        <v/>
      </c>
      <c r="J69" s="31">
        <f>INDEX('Current List'!$N:$N,MATCH($B69,'Current List'!$A:$A,0))</f>
        <v/>
      </c>
      <c r="K69" s="31">
        <f>IF(INDEX('Current List'!$S:$S,MATCH($B69,'Current List'!$A:$A,0))=0,"",INDEX('Current List'!$S:$S,MATCH($B69,'Current List'!$A:$A,0)))</f>
        <v/>
      </c>
      <c r="L69" s="31">
        <f>IFERROR(IF(ISNUMBER(K69),K69,VALUE(LEFT(K69,1))),Assumptions!$B$4)</f>
        <v/>
      </c>
      <c r="M69" s="31">
        <f>IF(K69="","TBD","Confirmed")</f>
        <v/>
      </c>
      <c r="N69" s="32">
        <f>INDEX('Current List'!$T:$T,MATCH($B69,'Current List'!$A:$A,0))</f>
        <v/>
      </c>
      <c r="O69" s="32">
        <f>WORKDAY(N69,-Assumptions!$B$5)</f>
        <v/>
      </c>
      <c r="P69" s="32">
        <f>WORKDAY(O69,-VLOOKUP(A69,Assumptions!$A$11:$B$16,2,FALSE))</f>
        <v/>
      </c>
      <c r="Q69" s="32">
        <f>P69-WEEKDAY(P69,3)</f>
        <v/>
      </c>
      <c r="R69" s="32">
        <f>INDEX('Current List'!$U:$U,MATCH($B69,'Current List'!$A:$A,0))</f>
        <v/>
      </c>
      <c r="S69" s="31">
        <f>TRIM(IF(J69&lt;&gt;"Approved","Layout not validated; ","")&amp;IF(M69="TBD","Config TBD (default units); ","")&amp;IF(H69="TBD","Labor TBD; ","")&amp;IF(A69="Outlier","Remote / out of route; ","")&amp;IF(A69="South TX","Long haul; ",""))</f>
        <v/>
      </c>
    </row>
    <row r="70">
      <c r="A70" s="28" t="inlineStr">
        <is>
          <t>Total</t>
        </is>
      </c>
      <c r="C70" s="28">
        <f>COUNTA(C5:C69)</f>
        <v/>
      </c>
      <c r="L70" s="28">
        <f>SUM(L5:L69)</f>
        <v/>
      </c>
    </row>
  </sheetData>
  <autoFilter ref="A4:S69"/>
  <conditionalFormatting sqref="S5:S69">
    <cfRule type="expression" priority="1" dxfId="0">
      <formula>LEN(S5)&gt;0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8" customWidth="1" style="26" min="1" max="1"/>
    <col width="11" customWidth="1" style="26" min="2" max="2"/>
    <col width="11" customWidth="1" style="26" min="3" max="3"/>
    <col width="11" customWidth="1" style="26" min="4" max="4"/>
    <col width="11" customWidth="1" style="26" min="5" max="5"/>
    <col width="11" customWidth="1" style="26" min="6" max="6"/>
    <col width="11" customWidth="1" style="26" min="7" max="7"/>
    <col width="11" customWidth="1" style="26" min="8" max="8"/>
    <col width="11" customWidth="1" style="26" min="9" max="9"/>
    <col width="11" customWidth="1" style="26" min="10" max="10"/>
  </cols>
  <sheetData>
    <row r="1">
      <c r="A1" s="27" t="inlineStr">
        <is>
          <t>Region x MSD week: stores and units</t>
        </is>
      </c>
    </row>
    <row r="3">
      <c r="A3" s="28" t="inlineStr">
        <is>
          <t>Stores</t>
        </is>
      </c>
    </row>
    <row r="4">
      <c r="A4" s="30" t="inlineStr">
        <is>
          <t>Region</t>
        </is>
      </c>
      <c r="B4" s="36" t="n">
        <v>46300</v>
      </c>
      <c r="C4" s="36" t="n">
        <v>46307</v>
      </c>
      <c r="D4" s="36" t="n">
        <v>46314</v>
      </c>
      <c r="E4" s="36" t="n">
        <v>46321</v>
      </c>
      <c r="F4" s="36" t="n">
        <v>46328</v>
      </c>
      <c r="G4" s="36" t="n">
        <v>46335</v>
      </c>
      <c r="H4" s="36" t="n">
        <v>46342</v>
      </c>
      <c r="I4" s="36" t="n">
        <v>46356</v>
      </c>
      <c r="J4" s="30" t="inlineStr">
        <is>
          <t>Total</t>
        </is>
      </c>
    </row>
    <row r="5">
      <c r="A5" s="31" t="inlineStr">
        <is>
          <t>DFW</t>
        </is>
      </c>
      <c r="B5" s="31">
        <f>COUNTIFS('Logistics Plan'!$A$5:$A$69,$A5,'Logistics Plan'!$N$5:$N$69,B$4)</f>
        <v/>
      </c>
      <c r="C5" s="31">
        <f>COUNTIFS('Logistics Plan'!$A$5:$A$69,$A5,'Logistics Plan'!$N$5:$N$69,C$4)</f>
        <v/>
      </c>
      <c r="D5" s="31">
        <f>COUNTIFS('Logistics Plan'!$A$5:$A$69,$A5,'Logistics Plan'!$N$5:$N$69,D$4)</f>
        <v/>
      </c>
      <c r="E5" s="31">
        <f>COUNTIFS('Logistics Plan'!$A$5:$A$69,$A5,'Logistics Plan'!$N$5:$N$69,E$4)</f>
        <v/>
      </c>
      <c r="F5" s="31">
        <f>COUNTIFS('Logistics Plan'!$A$5:$A$69,$A5,'Logistics Plan'!$N$5:$N$69,F$4)</f>
        <v/>
      </c>
      <c r="G5" s="31">
        <f>COUNTIFS('Logistics Plan'!$A$5:$A$69,$A5,'Logistics Plan'!$N$5:$N$69,G$4)</f>
        <v/>
      </c>
      <c r="H5" s="31">
        <f>COUNTIFS('Logistics Plan'!$A$5:$A$69,$A5,'Logistics Plan'!$N$5:$N$69,H$4)</f>
        <v/>
      </c>
      <c r="I5" s="31">
        <f>COUNTIFS('Logistics Plan'!$A$5:$A$69,$A5,'Logistics Plan'!$N$5:$N$69,I$4)</f>
        <v/>
      </c>
      <c r="J5" s="31">
        <f>SUM(B5:I5)</f>
        <v/>
      </c>
    </row>
    <row r="6">
      <c r="A6" s="31" t="inlineStr">
        <is>
          <t>Houston</t>
        </is>
      </c>
      <c r="B6" s="31">
        <f>COUNTIFS('Logistics Plan'!$A$5:$A$69,$A6,'Logistics Plan'!$N$5:$N$69,B$4)</f>
        <v/>
      </c>
      <c r="C6" s="31">
        <f>COUNTIFS('Logistics Plan'!$A$5:$A$69,$A6,'Logistics Plan'!$N$5:$N$69,C$4)</f>
        <v/>
      </c>
      <c r="D6" s="31">
        <f>COUNTIFS('Logistics Plan'!$A$5:$A$69,$A6,'Logistics Plan'!$N$5:$N$69,D$4)</f>
        <v/>
      </c>
      <c r="E6" s="31">
        <f>COUNTIFS('Logistics Plan'!$A$5:$A$69,$A6,'Logistics Plan'!$N$5:$N$69,E$4)</f>
        <v/>
      </c>
      <c r="F6" s="31">
        <f>COUNTIFS('Logistics Plan'!$A$5:$A$69,$A6,'Logistics Plan'!$N$5:$N$69,F$4)</f>
        <v/>
      </c>
      <c r="G6" s="31">
        <f>COUNTIFS('Logistics Plan'!$A$5:$A$69,$A6,'Logistics Plan'!$N$5:$N$69,G$4)</f>
        <v/>
      </c>
      <c r="H6" s="31">
        <f>COUNTIFS('Logistics Plan'!$A$5:$A$69,$A6,'Logistics Plan'!$N$5:$N$69,H$4)</f>
        <v/>
      </c>
      <c r="I6" s="31">
        <f>COUNTIFS('Logistics Plan'!$A$5:$A$69,$A6,'Logistics Plan'!$N$5:$N$69,I$4)</f>
        <v/>
      </c>
      <c r="J6" s="31">
        <f>SUM(B6:I6)</f>
        <v/>
      </c>
    </row>
    <row r="7">
      <c r="A7" s="31" t="inlineStr">
        <is>
          <t>Austin / Central</t>
        </is>
      </c>
      <c r="B7" s="31">
        <f>COUNTIFS('Logistics Plan'!$A$5:$A$69,$A7,'Logistics Plan'!$N$5:$N$69,B$4)</f>
        <v/>
      </c>
      <c r="C7" s="31">
        <f>COUNTIFS('Logistics Plan'!$A$5:$A$69,$A7,'Logistics Plan'!$N$5:$N$69,C$4)</f>
        <v/>
      </c>
      <c r="D7" s="31">
        <f>COUNTIFS('Logistics Plan'!$A$5:$A$69,$A7,'Logistics Plan'!$N$5:$N$69,D$4)</f>
        <v/>
      </c>
      <c r="E7" s="31">
        <f>COUNTIFS('Logistics Plan'!$A$5:$A$69,$A7,'Logistics Plan'!$N$5:$N$69,E$4)</f>
        <v/>
      </c>
      <c r="F7" s="31">
        <f>COUNTIFS('Logistics Plan'!$A$5:$A$69,$A7,'Logistics Plan'!$N$5:$N$69,F$4)</f>
        <v/>
      </c>
      <c r="G7" s="31">
        <f>COUNTIFS('Logistics Plan'!$A$5:$A$69,$A7,'Logistics Plan'!$N$5:$N$69,G$4)</f>
        <v/>
      </c>
      <c r="H7" s="31">
        <f>COUNTIFS('Logistics Plan'!$A$5:$A$69,$A7,'Logistics Plan'!$N$5:$N$69,H$4)</f>
        <v/>
      </c>
      <c r="I7" s="31">
        <f>COUNTIFS('Logistics Plan'!$A$5:$A$69,$A7,'Logistics Plan'!$N$5:$N$69,I$4)</f>
        <v/>
      </c>
      <c r="J7" s="31">
        <f>SUM(B7:I7)</f>
        <v/>
      </c>
    </row>
    <row r="8">
      <c r="A8" s="31" t="inlineStr">
        <is>
          <t>San Antonio</t>
        </is>
      </c>
      <c r="B8" s="31">
        <f>COUNTIFS('Logistics Plan'!$A$5:$A$69,$A8,'Logistics Plan'!$N$5:$N$69,B$4)</f>
        <v/>
      </c>
      <c r="C8" s="31">
        <f>COUNTIFS('Logistics Plan'!$A$5:$A$69,$A8,'Logistics Plan'!$N$5:$N$69,C$4)</f>
        <v/>
      </c>
      <c r="D8" s="31">
        <f>COUNTIFS('Logistics Plan'!$A$5:$A$69,$A8,'Logistics Plan'!$N$5:$N$69,D$4)</f>
        <v/>
      </c>
      <c r="E8" s="31">
        <f>COUNTIFS('Logistics Plan'!$A$5:$A$69,$A8,'Logistics Plan'!$N$5:$N$69,E$4)</f>
        <v/>
      </c>
      <c r="F8" s="31">
        <f>COUNTIFS('Logistics Plan'!$A$5:$A$69,$A8,'Logistics Plan'!$N$5:$N$69,F$4)</f>
        <v/>
      </c>
      <c r="G8" s="31">
        <f>COUNTIFS('Logistics Plan'!$A$5:$A$69,$A8,'Logistics Plan'!$N$5:$N$69,G$4)</f>
        <v/>
      </c>
      <c r="H8" s="31">
        <f>COUNTIFS('Logistics Plan'!$A$5:$A$69,$A8,'Logistics Plan'!$N$5:$N$69,H$4)</f>
        <v/>
      </c>
      <c r="I8" s="31">
        <f>COUNTIFS('Logistics Plan'!$A$5:$A$69,$A8,'Logistics Plan'!$N$5:$N$69,I$4)</f>
        <v/>
      </c>
      <c r="J8" s="31">
        <f>SUM(B8:I8)</f>
        <v/>
      </c>
    </row>
    <row r="9">
      <c r="A9" s="31" t="inlineStr">
        <is>
          <t>South TX</t>
        </is>
      </c>
      <c r="B9" s="31">
        <f>COUNTIFS('Logistics Plan'!$A$5:$A$69,$A9,'Logistics Plan'!$N$5:$N$69,B$4)</f>
        <v/>
      </c>
      <c r="C9" s="31">
        <f>COUNTIFS('Logistics Plan'!$A$5:$A$69,$A9,'Logistics Plan'!$N$5:$N$69,C$4)</f>
        <v/>
      </c>
      <c r="D9" s="31">
        <f>COUNTIFS('Logistics Plan'!$A$5:$A$69,$A9,'Logistics Plan'!$N$5:$N$69,D$4)</f>
        <v/>
      </c>
      <c r="E9" s="31">
        <f>COUNTIFS('Logistics Plan'!$A$5:$A$69,$A9,'Logistics Plan'!$N$5:$N$69,E$4)</f>
        <v/>
      </c>
      <c r="F9" s="31">
        <f>COUNTIFS('Logistics Plan'!$A$5:$A$69,$A9,'Logistics Plan'!$N$5:$N$69,F$4)</f>
        <v/>
      </c>
      <c r="G9" s="31">
        <f>COUNTIFS('Logistics Plan'!$A$5:$A$69,$A9,'Logistics Plan'!$N$5:$N$69,G$4)</f>
        <v/>
      </c>
      <c r="H9" s="31">
        <f>COUNTIFS('Logistics Plan'!$A$5:$A$69,$A9,'Logistics Plan'!$N$5:$N$69,H$4)</f>
        <v/>
      </c>
      <c r="I9" s="31">
        <f>COUNTIFS('Logistics Plan'!$A$5:$A$69,$A9,'Logistics Plan'!$N$5:$N$69,I$4)</f>
        <v/>
      </c>
      <c r="J9" s="31">
        <f>SUM(B9:I9)</f>
        <v/>
      </c>
    </row>
    <row r="10">
      <c r="A10" s="31" t="inlineStr">
        <is>
          <t>Outlier</t>
        </is>
      </c>
      <c r="B10" s="31">
        <f>COUNTIFS('Logistics Plan'!$A$5:$A$69,$A10,'Logistics Plan'!$N$5:$N$69,B$4)</f>
        <v/>
      </c>
      <c r="C10" s="31">
        <f>COUNTIFS('Logistics Plan'!$A$5:$A$69,$A10,'Logistics Plan'!$N$5:$N$69,C$4)</f>
        <v/>
      </c>
      <c r="D10" s="31">
        <f>COUNTIFS('Logistics Plan'!$A$5:$A$69,$A10,'Logistics Plan'!$N$5:$N$69,D$4)</f>
        <v/>
      </c>
      <c r="E10" s="31">
        <f>COUNTIFS('Logistics Plan'!$A$5:$A$69,$A10,'Logistics Plan'!$N$5:$N$69,E$4)</f>
        <v/>
      </c>
      <c r="F10" s="31">
        <f>COUNTIFS('Logistics Plan'!$A$5:$A$69,$A10,'Logistics Plan'!$N$5:$N$69,F$4)</f>
        <v/>
      </c>
      <c r="G10" s="31">
        <f>COUNTIFS('Logistics Plan'!$A$5:$A$69,$A10,'Logistics Plan'!$N$5:$N$69,G$4)</f>
        <v/>
      </c>
      <c r="H10" s="31">
        <f>COUNTIFS('Logistics Plan'!$A$5:$A$69,$A10,'Logistics Plan'!$N$5:$N$69,H$4)</f>
        <v/>
      </c>
      <c r="I10" s="31">
        <f>COUNTIFS('Logistics Plan'!$A$5:$A$69,$A10,'Logistics Plan'!$N$5:$N$69,I$4)</f>
        <v/>
      </c>
      <c r="J10" s="31">
        <f>SUM(B10:I10)</f>
        <v/>
      </c>
    </row>
    <row r="11">
      <c r="A11" s="34" t="inlineStr">
        <is>
          <t>Total</t>
        </is>
      </c>
      <c r="B11" s="34">
        <f>SUM(B5:B10)</f>
        <v/>
      </c>
      <c r="C11" s="34">
        <f>SUM(C5:C10)</f>
        <v/>
      </c>
      <c r="D11" s="34">
        <f>SUM(D5:D10)</f>
        <v/>
      </c>
      <c r="E11" s="34">
        <f>SUM(E5:E10)</f>
        <v/>
      </c>
      <c r="F11" s="34">
        <f>SUM(F5:F10)</f>
        <v/>
      </c>
      <c r="G11" s="34">
        <f>SUM(G5:G10)</f>
        <v/>
      </c>
      <c r="H11" s="34">
        <f>SUM(H5:H10)</f>
        <v/>
      </c>
      <c r="I11" s="34">
        <f>SUM(I5:I10)</f>
        <v/>
      </c>
      <c r="J11" s="34">
        <f>SUM(J5:J10)</f>
        <v/>
      </c>
    </row>
    <row r="13">
      <c r="A13" s="28" t="inlineStr">
        <is>
          <t>Units (default used where config TBD)</t>
        </is>
      </c>
    </row>
    <row r="14">
      <c r="A14" s="30" t="inlineStr">
        <is>
          <t>Region</t>
        </is>
      </c>
      <c r="B14" s="36" t="n">
        <v>46300</v>
      </c>
      <c r="C14" s="36" t="n">
        <v>46307</v>
      </c>
      <c r="D14" s="36" t="n">
        <v>46314</v>
      </c>
      <c r="E14" s="36" t="n">
        <v>46321</v>
      </c>
      <c r="F14" s="36" t="n">
        <v>46328</v>
      </c>
      <c r="G14" s="36" t="n">
        <v>46335</v>
      </c>
      <c r="H14" s="36" t="n">
        <v>46342</v>
      </c>
      <c r="I14" s="36" t="n">
        <v>46356</v>
      </c>
      <c r="J14" s="30" t="inlineStr">
        <is>
          <t>Total</t>
        </is>
      </c>
    </row>
    <row r="15">
      <c r="A15" s="31" t="inlineStr">
        <is>
          <t>DFW</t>
        </is>
      </c>
      <c r="B15" s="31">
        <f>SUMIFS('Logistics Plan'!$L$5:$L$69,'Logistics Plan'!$A$5:$A$69,$A15,'Logistics Plan'!$N$5:$N$69,B$14)</f>
        <v/>
      </c>
      <c r="C15" s="31">
        <f>SUMIFS('Logistics Plan'!$L$5:$L$69,'Logistics Plan'!$A$5:$A$69,$A15,'Logistics Plan'!$N$5:$N$69,C$14)</f>
        <v/>
      </c>
      <c r="D15" s="31">
        <f>SUMIFS('Logistics Plan'!$L$5:$L$69,'Logistics Plan'!$A$5:$A$69,$A15,'Logistics Plan'!$N$5:$N$69,D$14)</f>
        <v/>
      </c>
      <c r="E15" s="31">
        <f>SUMIFS('Logistics Plan'!$L$5:$L$69,'Logistics Plan'!$A$5:$A$69,$A15,'Logistics Plan'!$N$5:$N$69,E$14)</f>
        <v/>
      </c>
      <c r="F15" s="31">
        <f>SUMIFS('Logistics Plan'!$L$5:$L$69,'Logistics Plan'!$A$5:$A$69,$A15,'Logistics Plan'!$N$5:$N$69,F$14)</f>
        <v/>
      </c>
      <c r="G15" s="31">
        <f>SUMIFS('Logistics Plan'!$L$5:$L$69,'Logistics Plan'!$A$5:$A$69,$A15,'Logistics Plan'!$N$5:$N$69,G$14)</f>
        <v/>
      </c>
      <c r="H15" s="31">
        <f>SUMIFS('Logistics Plan'!$L$5:$L$69,'Logistics Plan'!$A$5:$A$69,$A15,'Logistics Plan'!$N$5:$N$69,H$14)</f>
        <v/>
      </c>
      <c r="I15" s="31">
        <f>SUMIFS('Logistics Plan'!$L$5:$L$69,'Logistics Plan'!$A$5:$A$69,$A15,'Logistics Plan'!$N$5:$N$69,I$14)</f>
        <v/>
      </c>
      <c r="J15" s="31">
        <f>SUM(B15:I15)</f>
        <v/>
      </c>
    </row>
    <row r="16">
      <c r="A16" s="31" t="inlineStr">
        <is>
          <t>Houston</t>
        </is>
      </c>
      <c r="B16" s="31">
        <f>SUMIFS('Logistics Plan'!$L$5:$L$69,'Logistics Plan'!$A$5:$A$69,$A16,'Logistics Plan'!$N$5:$N$69,B$14)</f>
        <v/>
      </c>
      <c r="C16" s="31">
        <f>SUMIFS('Logistics Plan'!$L$5:$L$69,'Logistics Plan'!$A$5:$A$69,$A16,'Logistics Plan'!$N$5:$N$69,C$14)</f>
        <v/>
      </c>
      <c r="D16" s="31">
        <f>SUMIFS('Logistics Plan'!$L$5:$L$69,'Logistics Plan'!$A$5:$A$69,$A16,'Logistics Plan'!$N$5:$N$69,D$14)</f>
        <v/>
      </c>
      <c r="E16" s="31">
        <f>SUMIFS('Logistics Plan'!$L$5:$L$69,'Logistics Plan'!$A$5:$A$69,$A16,'Logistics Plan'!$N$5:$N$69,E$14)</f>
        <v/>
      </c>
      <c r="F16" s="31">
        <f>SUMIFS('Logistics Plan'!$L$5:$L$69,'Logistics Plan'!$A$5:$A$69,$A16,'Logistics Plan'!$N$5:$N$69,F$14)</f>
        <v/>
      </c>
      <c r="G16" s="31">
        <f>SUMIFS('Logistics Plan'!$L$5:$L$69,'Logistics Plan'!$A$5:$A$69,$A16,'Logistics Plan'!$N$5:$N$69,G$14)</f>
        <v/>
      </c>
      <c r="H16" s="31">
        <f>SUMIFS('Logistics Plan'!$L$5:$L$69,'Logistics Plan'!$A$5:$A$69,$A16,'Logistics Plan'!$N$5:$N$69,H$14)</f>
        <v/>
      </c>
      <c r="I16" s="31">
        <f>SUMIFS('Logistics Plan'!$L$5:$L$69,'Logistics Plan'!$A$5:$A$69,$A16,'Logistics Plan'!$N$5:$N$69,I$14)</f>
        <v/>
      </c>
      <c r="J16" s="31">
        <f>SUM(B16:I16)</f>
        <v/>
      </c>
    </row>
    <row r="17">
      <c r="A17" s="31" t="inlineStr">
        <is>
          <t>Austin / Central</t>
        </is>
      </c>
      <c r="B17" s="31">
        <f>SUMIFS('Logistics Plan'!$L$5:$L$69,'Logistics Plan'!$A$5:$A$69,$A17,'Logistics Plan'!$N$5:$N$69,B$14)</f>
        <v/>
      </c>
      <c r="C17" s="31">
        <f>SUMIFS('Logistics Plan'!$L$5:$L$69,'Logistics Plan'!$A$5:$A$69,$A17,'Logistics Plan'!$N$5:$N$69,C$14)</f>
        <v/>
      </c>
      <c r="D17" s="31">
        <f>SUMIFS('Logistics Plan'!$L$5:$L$69,'Logistics Plan'!$A$5:$A$69,$A17,'Logistics Plan'!$N$5:$N$69,D$14)</f>
        <v/>
      </c>
      <c r="E17" s="31">
        <f>SUMIFS('Logistics Plan'!$L$5:$L$69,'Logistics Plan'!$A$5:$A$69,$A17,'Logistics Plan'!$N$5:$N$69,E$14)</f>
        <v/>
      </c>
      <c r="F17" s="31">
        <f>SUMIFS('Logistics Plan'!$L$5:$L$69,'Logistics Plan'!$A$5:$A$69,$A17,'Logistics Plan'!$N$5:$N$69,F$14)</f>
        <v/>
      </c>
      <c r="G17" s="31">
        <f>SUMIFS('Logistics Plan'!$L$5:$L$69,'Logistics Plan'!$A$5:$A$69,$A17,'Logistics Plan'!$N$5:$N$69,G$14)</f>
        <v/>
      </c>
      <c r="H17" s="31">
        <f>SUMIFS('Logistics Plan'!$L$5:$L$69,'Logistics Plan'!$A$5:$A$69,$A17,'Logistics Plan'!$N$5:$N$69,H$14)</f>
        <v/>
      </c>
      <c r="I17" s="31">
        <f>SUMIFS('Logistics Plan'!$L$5:$L$69,'Logistics Plan'!$A$5:$A$69,$A17,'Logistics Plan'!$N$5:$N$69,I$14)</f>
        <v/>
      </c>
      <c r="J17" s="31">
        <f>SUM(B17:I17)</f>
        <v/>
      </c>
    </row>
    <row r="18">
      <c r="A18" s="31" t="inlineStr">
        <is>
          <t>San Antonio</t>
        </is>
      </c>
      <c r="B18" s="31">
        <f>SUMIFS('Logistics Plan'!$L$5:$L$69,'Logistics Plan'!$A$5:$A$69,$A18,'Logistics Plan'!$N$5:$N$69,B$14)</f>
        <v/>
      </c>
      <c r="C18" s="31">
        <f>SUMIFS('Logistics Plan'!$L$5:$L$69,'Logistics Plan'!$A$5:$A$69,$A18,'Logistics Plan'!$N$5:$N$69,C$14)</f>
        <v/>
      </c>
      <c r="D18" s="31">
        <f>SUMIFS('Logistics Plan'!$L$5:$L$69,'Logistics Plan'!$A$5:$A$69,$A18,'Logistics Plan'!$N$5:$N$69,D$14)</f>
        <v/>
      </c>
      <c r="E18" s="31">
        <f>SUMIFS('Logistics Plan'!$L$5:$L$69,'Logistics Plan'!$A$5:$A$69,$A18,'Logistics Plan'!$N$5:$N$69,E$14)</f>
        <v/>
      </c>
      <c r="F18" s="31">
        <f>SUMIFS('Logistics Plan'!$L$5:$L$69,'Logistics Plan'!$A$5:$A$69,$A18,'Logistics Plan'!$N$5:$N$69,F$14)</f>
        <v/>
      </c>
      <c r="G18" s="31">
        <f>SUMIFS('Logistics Plan'!$L$5:$L$69,'Logistics Plan'!$A$5:$A$69,$A18,'Logistics Plan'!$N$5:$N$69,G$14)</f>
        <v/>
      </c>
      <c r="H18" s="31">
        <f>SUMIFS('Logistics Plan'!$L$5:$L$69,'Logistics Plan'!$A$5:$A$69,$A18,'Logistics Plan'!$N$5:$N$69,H$14)</f>
        <v/>
      </c>
      <c r="I18" s="31">
        <f>SUMIFS('Logistics Plan'!$L$5:$L$69,'Logistics Plan'!$A$5:$A$69,$A18,'Logistics Plan'!$N$5:$N$69,I$14)</f>
        <v/>
      </c>
      <c r="J18" s="31">
        <f>SUM(B18:I18)</f>
        <v/>
      </c>
    </row>
    <row r="19">
      <c r="A19" s="31" t="inlineStr">
        <is>
          <t>South TX</t>
        </is>
      </c>
      <c r="B19" s="31">
        <f>SUMIFS('Logistics Plan'!$L$5:$L$69,'Logistics Plan'!$A$5:$A$69,$A19,'Logistics Plan'!$N$5:$N$69,B$14)</f>
        <v/>
      </c>
      <c r="C19" s="31">
        <f>SUMIFS('Logistics Plan'!$L$5:$L$69,'Logistics Plan'!$A$5:$A$69,$A19,'Logistics Plan'!$N$5:$N$69,C$14)</f>
        <v/>
      </c>
      <c r="D19" s="31">
        <f>SUMIFS('Logistics Plan'!$L$5:$L$69,'Logistics Plan'!$A$5:$A$69,$A19,'Logistics Plan'!$N$5:$N$69,D$14)</f>
        <v/>
      </c>
      <c r="E19" s="31">
        <f>SUMIFS('Logistics Plan'!$L$5:$L$69,'Logistics Plan'!$A$5:$A$69,$A19,'Logistics Plan'!$N$5:$N$69,E$14)</f>
        <v/>
      </c>
      <c r="F19" s="31">
        <f>SUMIFS('Logistics Plan'!$L$5:$L$69,'Logistics Plan'!$A$5:$A$69,$A19,'Logistics Plan'!$N$5:$N$69,F$14)</f>
        <v/>
      </c>
      <c r="G19" s="31">
        <f>SUMIFS('Logistics Plan'!$L$5:$L$69,'Logistics Plan'!$A$5:$A$69,$A19,'Logistics Plan'!$N$5:$N$69,G$14)</f>
        <v/>
      </c>
      <c r="H19" s="31">
        <f>SUMIFS('Logistics Plan'!$L$5:$L$69,'Logistics Plan'!$A$5:$A$69,$A19,'Logistics Plan'!$N$5:$N$69,H$14)</f>
        <v/>
      </c>
      <c r="I19" s="31">
        <f>SUMIFS('Logistics Plan'!$L$5:$L$69,'Logistics Plan'!$A$5:$A$69,$A19,'Logistics Plan'!$N$5:$N$69,I$14)</f>
        <v/>
      </c>
      <c r="J19" s="31">
        <f>SUM(B19:I19)</f>
        <v/>
      </c>
    </row>
    <row r="20">
      <c r="A20" s="31" t="inlineStr">
        <is>
          <t>Outlier</t>
        </is>
      </c>
      <c r="B20" s="31">
        <f>SUMIFS('Logistics Plan'!$L$5:$L$69,'Logistics Plan'!$A$5:$A$69,$A20,'Logistics Plan'!$N$5:$N$69,B$14)</f>
        <v/>
      </c>
      <c r="C20" s="31">
        <f>SUMIFS('Logistics Plan'!$L$5:$L$69,'Logistics Plan'!$A$5:$A$69,$A20,'Logistics Plan'!$N$5:$N$69,C$14)</f>
        <v/>
      </c>
      <c r="D20" s="31">
        <f>SUMIFS('Logistics Plan'!$L$5:$L$69,'Logistics Plan'!$A$5:$A$69,$A20,'Logistics Plan'!$N$5:$N$69,D$14)</f>
        <v/>
      </c>
      <c r="E20" s="31">
        <f>SUMIFS('Logistics Plan'!$L$5:$L$69,'Logistics Plan'!$A$5:$A$69,$A20,'Logistics Plan'!$N$5:$N$69,E$14)</f>
        <v/>
      </c>
      <c r="F20" s="31">
        <f>SUMIFS('Logistics Plan'!$L$5:$L$69,'Logistics Plan'!$A$5:$A$69,$A20,'Logistics Plan'!$N$5:$N$69,F$14)</f>
        <v/>
      </c>
      <c r="G20" s="31">
        <f>SUMIFS('Logistics Plan'!$L$5:$L$69,'Logistics Plan'!$A$5:$A$69,$A20,'Logistics Plan'!$N$5:$N$69,G$14)</f>
        <v/>
      </c>
      <c r="H20" s="31">
        <f>SUMIFS('Logistics Plan'!$L$5:$L$69,'Logistics Plan'!$A$5:$A$69,$A20,'Logistics Plan'!$N$5:$N$69,H$14)</f>
        <v/>
      </c>
      <c r="I20" s="31">
        <f>SUMIFS('Logistics Plan'!$L$5:$L$69,'Logistics Plan'!$A$5:$A$69,$A20,'Logistics Plan'!$N$5:$N$69,I$14)</f>
        <v/>
      </c>
      <c r="J20" s="31">
        <f>SUM(B20:I20)</f>
        <v/>
      </c>
    </row>
    <row r="21">
      <c r="A21" s="34" t="inlineStr">
        <is>
          <t>Total</t>
        </is>
      </c>
      <c r="B21" s="34">
        <f>SUM(B15:B20)</f>
        <v/>
      </c>
      <c r="C21" s="34">
        <f>SUM(C15:C20)</f>
        <v/>
      </c>
      <c r="D21" s="34">
        <f>SUM(D15:D20)</f>
        <v/>
      </c>
      <c r="E21" s="34">
        <f>SUM(E15:E20)</f>
        <v/>
      </c>
      <c r="F21" s="34">
        <f>SUM(F15:F20)</f>
        <v/>
      </c>
      <c r="G21" s="34">
        <f>SUM(G15:G20)</f>
        <v/>
      </c>
      <c r="H21" s="34">
        <f>SUM(H15:H20)</f>
        <v/>
      </c>
      <c r="I21" s="34">
        <f>SUM(I15:I20)</f>
        <v/>
      </c>
      <c r="J21" s="34">
        <f>SUM(J15:J20)</f>
        <v/>
      </c>
    </row>
    <row r="23">
      <c r="A23" s="28" t="inlineStr">
        <is>
          <t>Crew-days needed (stores x install days per store)</t>
        </is>
      </c>
    </row>
    <row r="24">
      <c r="A24" t="inlineStr">
        <is>
          <t>Peak week crew-days</t>
        </is>
      </c>
      <c r="B24">
        <f>MAX(B11:I11)*Assumptions!$B$6</f>
        <v/>
      </c>
    </row>
    <row r="25">
      <c r="A25" t="inlineStr">
        <is>
          <t>Total crew-days</t>
        </is>
      </c>
      <c r="B25">
        <f>J11*Assumptions!$B$6</f>
        <v/>
      </c>
    </row>
    <row r="26">
      <c r="A26" t="inlineStr">
        <is>
          <t>Crews needed at peak if each does 5 install days/week</t>
        </is>
      </c>
      <c r="B26">
        <f>ROUNDUP(B24/5,0)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6" min="1" max="1"/>
    <col width="9" customWidth="1" style="26" min="2" max="2"/>
    <col width="9" customWidth="1" style="26" min="3" max="3"/>
    <col width="28" customWidth="1" style="26" min="4" max="4"/>
    <col width="16" customWidth="1" style="26" min="5" max="5"/>
    <col width="6" customWidth="1" style="26" min="6" max="6"/>
    <col width="8" customWidth="1" style="26" min="7" max="7"/>
    <col width="11" customWidth="1" style="26" min="8" max="8"/>
    <col width="11" customWidth="1" style="26" min="9" max="9"/>
    <col width="12" customWidth="1" style="26" min="10" max="10"/>
    <col width="20" customWidth="1" style="26" min="11" max="11"/>
  </cols>
  <sheetData>
    <row r="1">
      <c r="A1" s="37" t="inlineStr">
        <is>
          <t>Region</t>
        </is>
      </c>
      <c r="B1" s="37" t="inlineStr">
        <is>
          <t>Store #</t>
        </is>
      </c>
      <c r="C1" s="37" t="inlineStr">
        <is>
          <t>CS#</t>
        </is>
      </c>
      <c r="D1" s="37" t="inlineStr">
        <is>
          <t>Address</t>
        </is>
      </c>
      <c r="E1" s="37" t="inlineStr">
        <is>
          <t>City</t>
        </is>
      </c>
      <c r="F1" s="37" t="inlineStr">
        <is>
          <t>State</t>
        </is>
      </c>
      <c r="G1" s="37" t="inlineStr">
        <is>
          <t>Zip</t>
        </is>
      </c>
      <c r="H1" s="37" t="inlineStr">
        <is>
          <t>Latitude</t>
        </is>
      </c>
      <c r="I1" s="37" t="inlineStr">
        <is>
          <t>Longitude</t>
        </is>
      </c>
      <c r="J1" s="37" t="inlineStr">
        <is>
          <t>MSD</t>
        </is>
      </c>
      <c r="K1" s="37" t="inlineStr">
        <is>
          <t>Location basis</t>
        </is>
      </c>
    </row>
    <row r="2">
      <c r="A2" t="inlineStr">
        <is>
          <t>DFW</t>
        </is>
      </c>
      <c r="B2" t="n">
        <v>10880</v>
      </c>
      <c r="C2" t="inlineStr">
        <is>
          <t>190032</t>
        </is>
      </c>
      <c r="D2" t="inlineStr">
        <is>
          <t>8580 N. Macarthur Blvd</t>
        </is>
      </c>
      <c r="E2" t="inlineStr">
        <is>
          <t>Irving</t>
        </is>
      </c>
      <c r="F2" t="inlineStr">
        <is>
          <t>TX</t>
        </is>
      </c>
      <c r="G2" t="inlineStr">
        <is>
          <t>75063</t>
        </is>
      </c>
      <c r="H2" t="n">
        <v>32.92358</v>
      </c>
      <c r="I2" t="n">
        <v>-96.95528</v>
      </c>
      <c r="J2" s="38" t="n">
        <v>46300</v>
      </c>
      <c r="K2" t="inlineStr">
        <is>
          <t>Census address match</t>
        </is>
      </c>
    </row>
    <row r="3">
      <c r="A3" t="inlineStr">
        <is>
          <t>DFW</t>
        </is>
      </c>
      <c r="B3" t="n">
        <v>10642</v>
      </c>
      <c r="C3" t="inlineStr">
        <is>
          <t>190033</t>
        </is>
      </c>
      <c r="D3" t="inlineStr">
        <is>
          <t>1101 Fm 2181</t>
        </is>
      </c>
      <c r="E3" t="inlineStr">
        <is>
          <t>Corinth</t>
        </is>
      </c>
      <c r="F3" t="inlineStr">
        <is>
          <t>TX</t>
        </is>
      </c>
      <c r="G3" t="inlineStr">
        <is>
          <t>76210</t>
        </is>
      </c>
      <c r="H3" t="n">
        <v>33.13282</v>
      </c>
      <c r="I3" t="n">
        <v>-97.09509</v>
      </c>
      <c r="J3" s="38" t="n">
        <v>46307</v>
      </c>
      <c r="K3" t="inlineStr">
        <is>
          <t>OSM CVS store match (FM 2181 = Teasley Ln)</t>
        </is>
      </c>
    </row>
    <row r="4">
      <c r="A4" t="inlineStr">
        <is>
          <t>DFW</t>
        </is>
      </c>
      <c r="B4" t="n">
        <v>10324</v>
      </c>
      <c r="C4" t="inlineStr">
        <is>
          <t>189985</t>
        </is>
      </c>
      <c r="D4" t="inlineStr">
        <is>
          <t>6420 Gaston Ave.</t>
        </is>
      </c>
      <c r="E4" t="inlineStr">
        <is>
          <t>Dallas</t>
        </is>
      </c>
      <c r="F4" t="inlineStr">
        <is>
          <t>TX</t>
        </is>
      </c>
      <c r="G4" t="inlineStr">
        <is>
          <t>75214</t>
        </is>
      </c>
      <c r="H4" t="n">
        <v>32.8148</v>
      </c>
      <c r="I4" t="n">
        <v>-96.75176999999999</v>
      </c>
      <c r="J4" s="38" t="n">
        <v>46307</v>
      </c>
      <c r="K4" t="inlineStr">
        <is>
          <t>Census address match</t>
        </is>
      </c>
    </row>
    <row r="5">
      <c r="A5" t="inlineStr">
        <is>
          <t>DFW</t>
        </is>
      </c>
      <c r="B5" t="n">
        <v>8345</v>
      </c>
      <c r="C5" t="inlineStr">
        <is>
          <t>189620</t>
        </is>
      </c>
      <c r="D5" t="inlineStr">
        <is>
          <t>5195 Lake Ridge Pkwy.</t>
        </is>
      </c>
      <c r="E5" t="inlineStr">
        <is>
          <t>Grand Prairie</t>
        </is>
      </c>
      <c r="F5" t="inlineStr">
        <is>
          <t>TX</t>
        </is>
      </c>
      <c r="G5" t="inlineStr">
        <is>
          <t>75052</t>
        </is>
      </c>
      <c r="H5" t="n">
        <v>32.64808</v>
      </c>
      <c r="I5" t="n">
        <v>-97.04393</v>
      </c>
      <c r="J5" s="38" t="n">
        <v>46314</v>
      </c>
      <c r="K5" t="inlineStr">
        <is>
          <t>Census address match</t>
        </is>
      </c>
    </row>
    <row r="6">
      <c r="A6" t="inlineStr">
        <is>
          <t>DFW</t>
        </is>
      </c>
      <c r="B6" t="n">
        <v>6865</v>
      </c>
      <c r="C6" t="inlineStr">
        <is>
          <t>189473</t>
        </is>
      </c>
      <c r="D6" t="inlineStr">
        <is>
          <t>1099 W. Main St</t>
        </is>
      </c>
      <c r="E6" t="inlineStr">
        <is>
          <t>Lewisville</t>
        </is>
      </c>
      <c r="F6" t="inlineStr">
        <is>
          <t>TX</t>
        </is>
      </c>
      <c r="G6" t="inlineStr">
        <is>
          <t>75067</t>
        </is>
      </c>
      <c r="H6" t="n">
        <v>33.04221</v>
      </c>
      <c r="I6" t="n">
        <v>-97.02046</v>
      </c>
      <c r="J6" s="38" t="n">
        <v>46314</v>
      </c>
      <c r="K6" t="inlineStr">
        <is>
          <t>Census address match</t>
        </is>
      </c>
    </row>
    <row r="7">
      <c r="A7" t="inlineStr">
        <is>
          <t>DFW</t>
        </is>
      </c>
      <c r="B7" t="n">
        <v>3187</v>
      </c>
      <c r="C7" t="inlineStr">
        <is>
          <t>189281</t>
        </is>
      </c>
      <c r="D7" t="inlineStr">
        <is>
          <t>1000 E. Sandy Lake Rd.</t>
        </is>
      </c>
      <c r="E7" t="inlineStr">
        <is>
          <t>Coppell</t>
        </is>
      </c>
      <c r="F7" t="inlineStr">
        <is>
          <t>TX</t>
        </is>
      </c>
      <c r="G7" t="inlineStr">
        <is>
          <t>75019</t>
        </is>
      </c>
      <c r="H7" t="n">
        <v>32.96947</v>
      </c>
      <c r="I7" t="n">
        <v>-96.95856999999999</v>
      </c>
      <c r="J7" s="38" t="n">
        <v>46321</v>
      </c>
      <c r="K7" t="inlineStr">
        <is>
          <t>Census address match</t>
        </is>
      </c>
    </row>
    <row r="8">
      <c r="A8" t="inlineStr">
        <is>
          <t>DFW</t>
        </is>
      </c>
      <c r="B8" t="n">
        <v>7787</v>
      </c>
      <c r="C8" t="inlineStr">
        <is>
          <t>189528</t>
        </is>
      </c>
      <c r="D8" t="inlineStr">
        <is>
          <t>2220 Cross Timbers Rd</t>
        </is>
      </c>
      <c r="E8" t="inlineStr">
        <is>
          <t>Flower Mound</t>
        </is>
      </c>
      <c r="F8" t="inlineStr">
        <is>
          <t>TX</t>
        </is>
      </c>
      <c r="G8" t="inlineStr">
        <is>
          <t>75028</t>
        </is>
      </c>
      <c r="H8" t="n">
        <v>33.03457</v>
      </c>
      <c r="I8" t="n">
        <v>-97.06252000000001</v>
      </c>
      <c r="J8" s="38" t="n">
        <v>46321</v>
      </c>
      <c r="K8" t="inlineStr">
        <is>
          <t>Census address match</t>
        </is>
      </c>
    </row>
    <row r="9">
      <c r="A9" t="inlineStr">
        <is>
          <t>DFW</t>
        </is>
      </c>
      <c r="B9" t="n">
        <v>6960</v>
      </c>
      <c r="C9" t="inlineStr">
        <is>
          <t>189474</t>
        </is>
      </c>
      <c r="D9" t="inlineStr">
        <is>
          <t>2142 N Josey Ln</t>
        </is>
      </c>
      <c r="E9" t="inlineStr">
        <is>
          <t>Carrollton</t>
        </is>
      </c>
      <c r="F9" t="inlineStr">
        <is>
          <t>TX</t>
        </is>
      </c>
      <c r="G9" t="inlineStr">
        <is>
          <t>75006</t>
        </is>
      </c>
      <c r="H9" t="n">
        <v>32.97154</v>
      </c>
      <c r="I9" t="n">
        <v>-96.88979999999999</v>
      </c>
      <c r="J9" s="38" t="n">
        <v>46328</v>
      </c>
      <c r="K9" t="inlineStr">
        <is>
          <t>Census address match</t>
        </is>
      </c>
    </row>
    <row r="10">
      <c r="A10" t="inlineStr">
        <is>
          <t>DFW</t>
        </is>
      </c>
      <c r="B10" t="n">
        <v>7804</v>
      </c>
      <c r="C10" t="inlineStr">
        <is>
          <t>189529</t>
        </is>
      </c>
      <c r="D10" t="inlineStr">
        <is>
          <t>6401 W Parker Rd</t>
        </is>
      </c>
      <c r="E10" t="inlineStr">
        <is>
          <t>Plano</t>
        </is>
      </c>
      <c r="F10" t="inlineStr">
        <is>
          <t>TX</t>
        </is>
      </c>
      <c r="G10" t="inlineStr">
        <is>
          <t>75093</t>
        </is>
      </c>
      <c r="H10" t="n">
        <v>33.04537</v>
      </c>
      <c r="I10" t="n">
        <v>-96.8396</v>
      </c>
      <c r="J10" s="38" t="n">
        <v>46328</v>
      </c>
      <c r="K10" t="inlineStr">
        <is>
          <t>Census address match</t>
        </is>
      </c>
    </row>
    <row r="11">
      <c r="A11" t="inlineStr">
        <is>
          <t>DFW</t>
        </is>
      </c>
      <c r="B11" t="n">
        <v>10271</v>
      </c>
      <c r="C11" t="inlineStr">
        <is>
          <t>189986</t>
        </is>
      </c>
      <c r="D11" t="inlineStr">
        <is>
          <t>1510 W. Hickory St.</t>
        </is>
      </c>
      <c r="E11" t="inlineStr">
        <is>
          <t>Denton</t>
        </is>
      </c>
      <c r="F11" t="inlineStr">
        <is>
          <t>TX</t>
        </is>
      </c>
      <c r="G11" t="inlineStr">
        <is>
          <t>76201</t>
        </is>
      </c>
      <c r="H11" t="n">
        <v>33.21472</v>
      </c>
      <c r="I11" t="n">
        <v>-97.14858</v>
      </c>
      <c r="J11" s="38" t="n">
        <v>46335</v>
      </c>
      <c r="K11" t="inlineStr">
        <is>
          <t>Census address match</t>
        </is>
      </c>
    </row>
    <row r="12">
      <c r="A12" t="inlineStr">
        <is>
          <t>DFW</t>
        </is>
      </c>
      <c r="B12" t="n">
        <v>5799</v>
      </c>
      <c r="C12" t="inlineStr">
        <is>
          <t>189426</t>
        </is>
      </c>
      <c r="D12" t="inlineStr">
        <is>
          <t>6301 El Dorado Pkwy.</t>
        </is>
      </c>
      <c r="E12" t="inlineStr">
        <is>
          <t>Mckinney</t>
        </is>
      </c>
      <c r="F12" t="inlineStr">
        <is>
          <t>TX</t>
        </is>
      </c>
      <c r="G12" t="inlineStr">
        <is>
          <t>75070</t>
        </is>
      </c>
      <c r="H12" t="n">
        <v>33.17397</v>
      </c>
      <c r="I12" t="n">
        <v>-96.69909</v>
      </c>
      <c r="J12" s="38" t="n">
        <v>46335</v>
      </c>
      <c r="K12" t="inlineStr">
        <is>
          <t>Census address match</t>
        </is>
      </c>
    </row>
    <row r="13">
      <c r="A13" t="inlineStr">
        <is>
          <t>DFW</t>
        </is>
      </c>
      <c r="B13" t="n">
        <v>10635</v>
      </c>
      <c r="C13" t="inlineStr">
        <is>
          <t>190031</t>
        </is>
      </c>
      <c r="D13" t="inlineStr">
        <is>
          <t>476 W. 1-30</t>
        </is>
      </c>
      <c r="E13" t="inlineStr">
        <is>
          <t>Royse City</t>
        </is>
      </c>
      <c r="F13" t="inlineStr">
        <is>
          <t>TX</t>
        </is>
      </c>
      <c r="G13" t="inlineStr">
        <is>
          <t>75189</t>
        </is>
      </c>
      <c r="H13" t="n">
        <v>32.96545</v>
      </c>
      <c r="I13" t="n">
        <v>-96.34001000000001</v>
      </c>
      <c r="J13" s="38" t="n">
        <v>46335</v>
      </c>
      <c r="K13" t="inlineStr">
        <is>
          <t>OSM CVS store match</t>
        </is>
      </c>
    </row>
    <row r="14">
      <c r="A14" t="inlineStr">
        <is>
          <t>DFW</t>
        </is>
      </c>
      <c r="B14" t="n">
        <v>6965</v>
      </c>
      <c r="C14" t="inlineStr">
        <is>
          <t>189472</t>
        </is>
      </c>
      <c r="D14" t="inlineStr">
        <is>
          <t>7203 Skillman St.</t>
        </is>
      </c>
      <c r="E14" t="inlineStr">
        <is>
          <t>Dallas</t>
        </is>
      </c>
      <c r="F14" t="inlineStr">
        <is>
          <t>TX</t>
        </is>
      </c>
      <c r="G14" t="inlineStr">
        <is>
          <t>75231</t>
        </is>
      </c>
      <c r="H14" t="n">
        <v>32.87874</v>
      </c>
      <c r="I14" t="n">
        <v>-96.73511000000001</v>
      </c>
      <c r="J14" s="38" t="n">
        <v>46342</v>
      </c>
      <c r="K14" t="inlineStr">
        <is>
          <t>Census address match</t>
        </is>
      </c>
    </row>
    <row r="15">
      <c r="A15" t="inlineStr">
        <is>
          <t>DFW</t>
        </is>
      </c>
      <c r="B15" t="n">
        <v>10523</v>
      </c>
      <c r="C15" t="inlineStr">
        <is>
          <t>189987</t>
        </is>
      </c>
      <c r="D15" t="inlineStr">
        <is>
          <t>270 Stonebrook Pkwy.</t>
        </is>
      </c>
      <c r="E15" t="inlineStr">
        <is>
          <t>Frisco</t>
        </is>
      </c>
      <c r="F15" t="inlineStr">
        <is>
          <t>TX</t>
        </is>
      </c>
      <c r="G15" t="inlineStr">
        <is>
          <t>75036</t>
        </is>
      </c>
      <c r="H15" t="n">
        <v>33.14479</v>
      </c>
      <c r="I15" t="n">
        <v>-96.89006000000001</v>
      </c>
      <c r="J15" s="38" t="n">
        <v>46342</v>
      </c>
      <c r="K15" t="inlineStr">
        <is>
          <t>Census address match</t>
        </is>
      </c>
    </row>
    <row r="16">
      <c r="A16" t="inlineStr">
        <is>
          <t>DFW</t>
        </is>
      </c>
      <c r="B16" t="n">
        <v>5952</v>
      </c>
      <c r="C16" t="inlineStr">
        <is>
          <t>189427</t>
        </is>
      </c>
      <c r="D16" t="inlineStr">
        <is>
          <t>2313 W. University Ave.</t>
        </is>
      </c>
      <c r="E16" t="inlineStr">
        <is>
          <t>Mckinney</t>
        </is>
      </c>
      <c r="F16" t="inlineStr">
        <is>
          <t>TX</t>
        </is>
      </c>
      <c r="G16" t="inlineStr">
        <is>
          <t>75071</t>
        </is>
      </c>
      <c r="H16" t="n">
        <v>33.21677</v>
      </c>
      <c r="I16" t="n">
        <v>-96.64451</v>
      </c>
      <c r="J16" s="38" t="n">
        <v>46342</v>
      </c>
      <c r="K16" t="inlineStr">
        <is>
          <t>Census address match</t>
        </is>
      </c>
    </row>
    <row r="17">
      <c r="A17" t="inlineStr">
        <is>
          <t>DFW</t>
        </is>
      </c>
      <c r="B17" t="n">
        <v>7562</v>
      </c>
      <c r="C17" t="inlineStr">
        <is>
          <t>189530</t>
        </is>
      </c>
      <c r="D17" t="inlineStr">
        <is>
          <t>9075 Legacy Dr.</t>
        </is>
      </c>
      <c r="E17" t="inlineStr">
        <is>
          <t>Frisco</t>
        </is>
      </c>
      <c r="F17" t="inlineStr">
        <is>
          <t>TX</t>
        </is>
      </c>
      <c r="G17" t="inlineStr">
        <is>
          <t>75033</t>
        </is>
      </c>
      <c r="H17" t="n">
        <v>33.15386</v>
      </c>
      <c r="I17" t="n">
        <v>-96.84808</v>
      </c>
      <c r="J17" s="38" t="n">
        <v>46356</v>
      </c>
      <c r="K17" t="inlineStr">
        <is>
          <t>Census address match</t>
        </is>
      </c>
    </row>
    <row r="18">
      <c r="A18" t="inlineStr">
        <is>
          <t>Houston</t>
        </is>
      </c>
      <c r="B18" t="n">
        <v>10996</v>
      </c>
      <c r="C18" t="inlineStr">
        <is>
          <t>190020</t>
        </is>
      </c>
      <c r="D18" t="inlineStr">
        <is>
          <t>9663 W. Fm 1097 Rd.</t>
        </is>
      </c>
      <c r="E18" t="inlineStr">
        <is>
          <t>Willis</t>
        </is>
      </c>
      <c r="F18" t="inlineStr">
        <is>
          <t>TX</t>
        </is>
      </c>
      <c r="G18" t="inlineStr">
        <is>
          <t>77318</t>
        </is>
      </c>
      <c r="H18" t="n">
        <v>30.41962</v>
      </c>
      <c r="I18" t="n">
        <v>-95.49815</v>
      </c>
      <c r="J18" s="38" t="n">
        <v>46307</v>
      </c>
      <c r="K18" t="inlineStr">
        <is>
          <t>Census address match</t>
        </is>
      </c>
    </row>
    <row r="19">
      <c r="A19" t="inlineStr">
        <is>
          <t>Houston</t>
        </is>
      </c>
      <c r="B19" t="n">
        <v>7092</v>
      </c>
      <c r="C19" t="inlineStr">
        <is>
          <t>189518</t>
        </is>
      </c>
      <c r="D19" t="inlineStr">
        <is>
          <t>110 W. 20Th St.</t>
        </is>
      </c>
      <c r="E19" t="inlineStr">
        <is>
          <t>Houston</t>
        </is>
      </c>
      <c r="F19" t="inlineStr">
        <is>
          <t>TX</t>
        </is>
      </c>
      <c r="G19" t="inlineStr">
        <is>
          <t>77008</t>
        </is>
      </c>
      <c r="H19" t="n">
        <v>29.80392</v>
      </c>
      <c r="I19" t="n">
        <v>-95.39812999999999</v>
      </c>
      <c r="J19" s="38" t="n">
        <v>46314</v>
      </c>
      <c r="K19" t="inlineStr">
        <is>
          <t>Census address match</t>
        </is>
      </c>
    </row>
    <row r="20">
      <c r="A20" t="inlineStr">
        <is>
          <t>Houston</t>
        </is>
      </c>
      <c r="B20" t="n">
        <v>1996</v>
      </c>
      <c r="C20" t="inlineStr">
        <is>
          <t>189171</t>
        </is>
      </c>
      <c r="D20" t="inlineStr">
        <is>
          <t>24950 Franz Rd.</t>
        </is>
      </c>
      <c r="E20" t="inlineStr">
        <is>
          <t>Katy</t>
        </is>
      </c>
      <c r="F20" t="inlineStr">
        <is>
          <t>TX</t>
        </is>
      </c>
      <c r="G20" t="inlineStr">
        <is>
          <t>77493</t>
        </is>
      </c>
      <c r="H20" t="n">
        <v>29.80035</v>
      </c>
      <c r="I20" t="n">
        <v>-95.83299</v>
      </c>
      <c r="J20" s="38" t="n">
        <v>46314</v>
      </c>
      <c r="K20" t="inlineStr">
        <is>
          <t>Road only (Franz Rd) - approx.</t>
        </is>
      </c>
    </row>
    <row r="21">
      <c r="A21" t="inlineStr">
        <is>
          <t>Houston</t>
        </is>
      </c>
      <c r="B21" t="n">
        <v>10671</v>
      </c>
      <c r="C21" t="inlineStr">
        <is>
          <t>190024</t>
        </is>
      </c>
      <c r="D21" t="inlineStr">
        <is>
          <t>10420 Fm 1464</t>
        </is>
      </c>
      <c r="E21" t="inlineStr">
        <is>
          <t>Richmond</t>
        </is>
      </c>
      <c r="F21" t="inlineStr">
        <is>
          <t>TX</t>
        </is>
      </c>
      <c r="G21" t="inlineStr">
        <is>
          <t>77407</t>
        </is>
      </c>
      <c r="H21" t="n">
        <v>29.66198</v>
      </c>
      <c r="I21" t="n">
        <v>-95.68694000000001</v>
      </c>
      <c r="J21" s="38" t="n">
        <v>46314</v>
      </c>
      <c r="K21" t="inlineStr">
        <is>
          <t>OSM CVS store match</t>
        </is>
      </c>
    </row>
    <row r="22">
      <c r="A22" t="inlineStr">
        <is>
          <t>Houston</t>
        </is>
      </c>
      <c r="B22" t="n">
        <v>10637</v>
      </c>
      <c r="C22" t="inlineStr">
        <is>
          <t>190025</t>
        </is>
      </c>
      <c r="D22" t="inlineStr">
        <is>
          <t>6750 Reading Road</t>
        </is>
      </c>
      <c r="E22" t="inlineStr">
        <is>
          <t>Rosenberg</t>
        </is>
      </c>
      <c r="F22" t="inlineStr">
        <is>
          <t>TX</t>
        </is>
      </c>
      <c r="G22" t="inlineStr">
        <is>
          <t>77471</t>
        </is>
      </c>
      <c r="H22" t="n">
        <v>29.5405</v>
      </c>
      <c r="I22" t="n">
        <v>-95.75190000000001</v>
      </c>
      <c r="J22" s="38" t="n">
        <v>46314</v>
      </c>
      <c r="K22" t="inlineStr">
        <is>
          <t>Census address match</t>
        </is>
      </c>
    </row>
    <row r="23">
      <c r="A23" t="inlineStr">
        <is>
          <t>Houston</t>
        </is>
      </c>
      <c r="B23" t="n">
        <v>5839</v>
      </c>
      <c r="C23" t="inlineStr">
        <is>
          <t>189419</t>
        </is>
      </c>
      <c r="D23" t="inlineStr">
        <is>
          <t>8960 Barker Cypress Rd.</t>
        </is>
      </c>
      <c r="E23" t="inlineStr">
        <is>
          <t>Cypress</t>
        </is>
      </c>
      <c r="F23" t="inlineStr">
        <is>
          <t>TX</t>
        </is>
      </c>
      <c r="G23" t="inlineStr">
        <is>
          <t>77433</t>
        </is>
      </c>
      <c r="H23" t="n">
        <v>29.90769</v>
      </c>
      <c r="I23" t="n">
        <v>-95.6859</v>
      </c>
      <c r="J23" s="38" t="n">
        <v>46321</v>
      </c>
      <c r="K23" t="inlineStr">
        <is>
          <t>Census address match</t>
        </is>
      </c>
    </row>
    <row r="24">
      <c r="A24" t="inlineStr">
        <is>
          <t>Houston</t>
        </is>
      </c>
      <c r="B24" t="n">
        <v>5884</v>
      </c>
      <c r="C24" t="inlineStr">
        <is>
          <t>189421</t>
        </is>
      </c>
      <c r="D24" t="inlineStr">
        <is>
          <t>12260 Bellaire Blvd.</t>
        </is>
      </c>
      <c r="E24" t="inlineStr">
        <is>
          <t>Houston</t>
        </is>
      </c>
      <c r="F24" t="inlineStr">
        <is>
          <t>TX</t>
        </is>
      </c>
      <c r="G24" t="inlineStr">
        <is>
          <t>77072</t>
        </is>
      </c>
      <c r="H24" t="n">
        <v>29.70368</v>
      </c>
      <c r="I24" t="n">
        <v>-95.59578999999999</v>
      </c>
      <c r="J24" s="38" t="n">
        <v>46321</v>
      </c>
      <c r="K24" t="inlineStr">
        <is>
          <t>Census address match</t>
        </is>
      </c>
    </row>
    <row r="25">
      <c r="A25" t="inlineStr">
        <is>
          <t>Houston</t>
        </is>
      </c>
      <c r="B25" t="n">
        <v>7805</v>
      </c>
      <c r="C25" t="inlineStr">
        <is>
          <t>189523</t>
        </is>
      </c>
      <c r="D25" t="inlineStr">
        <is>
          <t>5757 New Territory Blvd</t>
        </is>
      </c>
      <c r="E25" t="inlineStr">
        <is>
          <t>Sugar Land</t>
        </is>
      </c>
      <c r="F25" t="inlineStr">
        <is>
          <t>TX</t>
        </is>
      </c>
      <c r="G25" t="inlineStr">
        <is>
          <t>77479</t>
        </is>
      </c>
      <c r="H25" t="n">
        <v>29.59094</v>
      </c>
      <c r="I25" t="n">
        <v>-95.67708</v>
      </c>
      <c r="J25" s="38" t="n">
        <v>46321</v>
      </c>
      <c r="K25" t="inlineStr">
        <is>
          <t>OSM CVS store match</t>
        </is>
      </c>
    </row>
    <row r="26">
      <c r="A26" t="inlineStr">
        <is>
          <t>Houston</t>
        </is>
      </c>
      <c r="B26" t="n">
        <v>3693</v>
      </c>
      <c r="C26" t="inlineStr">
        <is>
          <t>189279</t>
        </is>
      </c>
      <c r="D26" t="inlineStr">
        <is>
          <t>7950 S. Gessner Rd.</t>
        </is>
      </c>
      <c r="E26" t="inlineStr">
        <is>
          <t>Houston</t>
        </is>
      </c>
      <c r="F26" t="inlineStr">
        <is>
          <t>TX</t>
        </is>
      </c>
      <c r="G26" t="inlineStr">
        <is>
          <t>77036</t>
        </is>
      </c>
      <c r="H26" t="n">
        <v>29.69158</v>
      </c>
      <c r="I26" t="n">
        <v>-95.53564</v>
      </c>
      <c r="J26" s="38" t="n">
        <v>46328</v>
      </c>
      <c r="K26" t="inlineStr">
        <is>
          <t>Census address match</t>
        </is>
      </c>
    </row>
    <row r="27">
      <c r="A27" t="inlineStr">
        <is>
          <t>Houston</t>
        </is>
      </c>
      <c r="B27" t="n">
        <v>4474</v>
      </c>
      <c r="C27" t="inlineStr">
        <is>
          <t>189322</t>
        </is>
      </c>
      <c r="D27" t="inlineStr">
        <is>
          <t>2781 Dulles Ave.</t>
        </is>
      </c>
      <c r="E27" t="inlineStr">
        <is>
          <t>Missouri City</t>
        </is>
      </c>
      <c r="F27" t="inlineStr">
        <is>
          <t>TX</t>
        </is>
      </c>
      <c r="G27" t="inlineStr">
        <is>
          <t>77459</t>
        </is>
      </c>
      <c r="H27" t="n">
        <v>29.58387</v>
      </c>
      <c r="I27" t="n">
        <v>-95.58059</v>
      </c>
      <c r="J27" s="38" t="n">
        <v>46328</v>
      </c>
      <c r="K27" t="inlineStr">
        <is>
          <t>Census address match</t>
        </is>
      </c>
    </row>
    <row r="28">
      <c r="A28" t="inlineStr">
        <is>
          <t>Houston</t>
        </is>
      </c>
      <c r="B28" t="n">
        <v>10664</v>
      </c>
      <c r="C28" t="inlineStr">
        <is>
          <t>190021</t>
        </is>
      </c>
      <c r="D28" t="inlineStr">
        <is>
          <t>2180 Woodforest Parkway N.</t>
        </is>
      </c>
      <c r="E28" t="inlineStr">
        <is>
          <t>Montgomery</t>
        </is>
      </c>
      <c r="F28" t="inlineStr">
        <is>
          <t>TX</t>
        </is>
      </c>
      <c r="G28" t="inlineStr">
        <is>
          <t>77316</t>
        </is>
      </c>
      <c r="H28" t="n">
        <v>30.28149</v>
      </c>
      <c r="I28" t="n">
        <v>-95.57163</v>
      </c>
      <c r="J28" s="38" t="n">
        <v>46328</v>
      </c>
      <c r="K28" t="inlineStr">
        <is>
          <t>Census address match</t>
        </is>
      </c>
    </row>
    <row r="29">
      <c r="A29" t="inlineStr">
        <is>
          <t>Houston</t>
        </is>
      </c>
      <c r="B29" t="n">
        <v>7448</v>
      </c>
      <c r="C29" t="inlineStr">
        <is>
          <t>189516</t>
        </is>
      </c>
      <c r="D29" t="inlineStr">
        <is>
          <t>815 W. Main St.</t>
        </is>
      </c>
      <c r="E29" t="inlineStr">
        <is>
          <t>Tomball</t>
        </is>
      </c>
      <c r="F29" t="inlineStr">
        <is>
          <t>TX</t>
        </is>
      </c>
      <c r="G29" t="inlineStr">
        <is>
          <t>77375</t>
        </is>
      </c>
      <c r="H29" t="n">
        <v>30.09403</v>
      </c>
      <c r="I29" t="n">
        <v>-95.62309999999999</v>
      </c>
      <c r="J29" s="38" t="n">
        <v>46328</v>
      </c>
      <c r="K29" t="inlineStr">
        <is>
          <t>Census address match</t>
        </is>
      </c>
    </row>
    <row r="30">
      <c r="A30" t="inlineStr">
        <is>
          <t>Houston</t>
        </is>
      </c>
      <c r="B30" t="n">
        <v>7476</v>
      </c>
      <c r="C30" t="inlineStr">
        <is>
          <t>189519</t>
        </is>
      </c>
      <c r="D30" t="inlineStr">
        <is>
          <t>5401 Washington Ave</t>
        </is>
      </c>
      <c r="E30" t="inlineStr">
        <is>
          <t>Houston</t>
        </is>
      </c>
      <c r="F30" t="inlineStr">
        <is>
          <t>TX</t>
        </is>
      </c>
      <c r="G30" t="inlineStr">
        <is>
          <t>77007</t>
        </is>
      </c>
      <c r="H30" t="n">
        <v>29.77054</v>
      </c>
      <c r="I30" t="n">
        <v>-95.41642</v>
      </c>
      <c r="J30" s="38" t="n">
        <v>46335</v>
      </c>
      <c r="K30" t="inlineStr">
        <is>
          <t>Census address match</t>
        </is>
      </c>
    </row>
    <row r="31">
      <c r="A31" t="inlineStr">
        <is>
          <t>Houston</t>
        </is>
      </c>
      <c r="B31" t="n">
        <v>6655</v>
      </c>
      <c r="C31" t="inlineStr">
        <is>
          <t>189471</t>
        </is>
      </c>
      <c r="D31" t="inlineStr">
        <is>
          <t>1569 11Th St</t>
        </is>
      </c>
      <c r="E31" t="inlineStr">
        <is>
          <t>Huntsville</t>
        </is>
      </c>
      <c r="F31" t="inlineStr">
        <is>
          <t>TX</t>
        </is>
      </c>
      <c r="G31" t="inlineStr">
        <is>
          <t>77340</t>
        </is>
      </c>
      <c r="H31" t="n">
        <v>30.7184</v>
      </c>
      <c r="I31" t="n">
        <v>-95.56845</v>
      </c>
      <c r="J31" s="38" t="n">
        <v>46335</v>
      </c>
      <c r="K31" t="inlineStr">
        <is>
          <t>Road only (11th St) - approx.</t>
        </is>
      </c>
    </row>
    <row r="32">
      <c r="A32" t="inlineStr">
        <is>
          <t>Houston</t>
        </is>
      </c>
      <c r="B32" t="n">
        <v>10177</v>
      </c>
      <c r="C32" t="inlineStr">
        <is>
          <t>189927</t>
        </is>
      </c>
      <c r="D32" t="inlineStr">
        <is>
          <t>2720 Fm 1463</t>
        </is>
      </c>
      <c r="E32" t="inlineStr">
        <is>
          <t>Katy</t>
        </is>
      </c>
      <c r="F32" t="inlineStr">
        <is>
          <t>TX</t>
        </is>
      </c>
      <c r="G32" t="inlineStr">
        <is>
          <t>77494</t>
        </is>
      </c>
      <c r="H32" t="n">
        <v>29.75206</v>
      </c>
      <c r="I32" t="n">
        <v>-95.85171</v>
      </c>
      <c r="J32" s="38" t="n">
        <v>46335</v>
      </c>
      <c r="K32" t="inlineStr">
        <is>
          <t>Census address match</t>
        </is>
      </c>
    </row>
    <row r="33">
      <c r="A33" t="inlineStr">
        <is>
          <t>Houston</t>
        </is>
      </c>
      <c r="B33" t="n">
        <v>5972</v>
      </c>
      <c r="C33" t="inlineStr">
        <is>
          <t>189424</t>
        </is>
      </c>
      <c r="D33" t="inlineStr">
        <is>
          <t>5305 Avenue I</t>
        </is>
      </c>
      <c r="E33" t="inlineStr">
        <is>
          <t>Rosenberg</t>
        </is>
      </c>
      <c r="F33" t="inlineStr">
        <is>
          <t>TX</t>
        </is>
      </c>
      <c r="G33" t="inlineStr">
        <is>
          <t>77471</t>
        </is>
      </c>
      <c r="H33" t="n">
        <v>29.55818</v>
      </c>
      <c r="I33" t="n">
        <v>-95.77331</v>
      </c>
      <c r="J33" s="38" t="n">
        <v>46335</v>
      </c>
      <c r="K33" t="inlineStr">
        <is>
          <t>Census address match</t>
        </is>
      </c>
    </row>
    <row r="34">
      <c r="A34" t="inlineStr">
        <is>
          <t>Houston</t>
        </is>
      </c>
      <c r="B34" t="n">
        <v>10350</v>
      </c>
      <c r="C34" t="inlineStr">
        <is>
          <t>189979</t>
        </is>
      </c>
      <c r="D34" t="inlineStr">
        <is>
          <t>4523 L J Parkway</t>
        </is>
      </c>
      <c r="E34" t="inlineStr">
        <is>
          <t>Sugar Land</t>
        </is>
      </c>
      <c r="F34" t="inlineStr">
        <is>
          <t>TX</t>
        </is>
      </c>
      <c r="G34" t="inlineStr">
        <is>
          <t>77479</t>
        </is>
      </c>
      <c r="H34" t="n">
        <v>29.54616</v>
      </c>
      <c r="I34" t="n">
        <v>-95.58453</v>
      </c>
      <c r="J34" s="38" t="n">
        <v>46335</v>
      </c>
      <c r="K34" t="inlineStr">
        <is>
          <t>Census address match</t>
        </is>
      </c>
    </row>
    <row r="35">
      <c r="A35" t="inlineStr">
        <is>
          <t>Houston</t>
        </is>
      </c>
      <c r="B35" t="n">
        <v>7475</v>
      </c>
      <c r="C35" t="inlineStr">
        <is>
          <t>189521</t>
        </is>
      </c>
      <c r="D35" t="inlineStr">
        <is>
          <t>1350 Kingwood Dr</t>
        </is>
      </c>
      <c r="E35" t="inlineStr">
        <is>
          <t>Kingwood</t>
        </is>
      </c>
      <c r="F35" t="inlineStr">
        <is>
          <t>TX</t>
        </is>
      </c>
      <c r="G35" t="inlineStr">
        <is>
          <t>77339</t>
        </is>
      </c>
      <c r="H35" t="n">
        <v>30.04932</v>
      </c>
      <c r="I35" t="n">
        <v>-95.23576</v>
      </c>
      <c r="J35" s="38" t="n">
        <v>46342</v>
      </c>
      <c r="K35" t="inlineStr">
        <is>
          <t>Census address match</t>
        </is>
      </c>
    </row>
    <row r="36">
      <c r="A36" t="inlineStr">
        <is>
          <t>Houston</t>
        </is>
      </c>
      <c r="B36" t="n">
        <v>5519</v>
      </c>
      <c r="C36" t="inlineStr">
        <is>
          <t>189423</t>
        </is>
      </c>
      <c r="D36" t="inlineStr">
        <is>
          <t>1295 East League City Pkwy.</t>
        </is>
      </c>
      <c r="E36" t="inlineStr">
        <is>
          <t>League City</t>
        </is>
      </c>
      <c r="F36" t="inlineStr">
        <is>
          <t>TX</t>
        </is>
      </c>
      <c r="G36" t="inlineStr">
        <is>
          <t>77573</t>
        </is>
      </c>
      <c r="H36" t="n">
        <v>29.51775</v>
      </c>
      <c r="I36" t="n">
        <v>-95.024</v>
      </c>
      <c r="J36" s="38" t="n">
        <v>46342</v>
      </c>
      <c r="K36" t="inlineStr">
        <is>
          <t>Road only (E League City Pkwy) - approx.</t>
        </is>
      </c>
    </row>
    <row r="37">
      <c r="A37" t="inlineStr">
        <is>
          <t>Houston</t>
        </is>
      </c>
      <c r="B37" t="n">
        <v>11067</v>
      </c>
      <c r="C37" t="inlineStr">
        <is>
          <t>190022</t>
        </is>
      </c>
      <c r="D37" t="inlineStr">
        <is>
          <t>2735 Sienna Parkway</t>
        </is>
      </c>
      <c r="E37" t="inlineStr">
        <is>
          <t>Missouri City</t>
        </is>
      </c>
      <c r="F37" t="inlineStr">
        <is>
          <t>TX</t>
        </is>
      </c>
      <c r="G37" t="inlineStr">
        <is>
          <t>77459</t>
        </is>
      </c>
      <c r="H37" t="n">
        <v>29.48494</v>
      </c>
      <c r="I37" t="n">
        <v>-95.52145</v>
      </c>
      <c r="J37" s="38" t="n">
        <v>46342</v>
      </c>
      <c r="K37" t="inlineStr">
        <is>
          <t>Census address match</t>
        </is>
      </c>
    </row>
    <row r="38">
      <c r="A38" t="inlineStr">
        <is>
          <t>Houston</t>
        </is>
      </c>
      <c r="B38" t="n">
        <v>10544</v>
      </c>
      <c r="C38" t="inlineStr">
        <is>
          <t>189980</t>
        </is>
      </c>
      <c r="D38" t="inlineStr">
        <is>
          <t>5902 Fm 1463 Rd.</t>
        </is>
      </c>
      <c r="E38" t="inlineStr">
        <is>
          <t>Katy</t>
        </is>
      </c>
      <c r="F38" t="inlineStr">
        <is>
          <t>TX</t>
        </is>
      </c>
      <c r="G38" t="inlineStr">
        <is>
          <t>77494</t>
        </is>
      </c>
      <c r="H38" t="n">
        <v>29.70625</v>
      </c>
      <c r="I38" t="n">
        <v>-95.84614000000001</v>
      </c>
      <c r="J38" s="38" t="n">
        <v>46356</v>
      </c>
      <c r="K38" t="inlineStr">
        <is>
          <t>Census address match</t>
        </is>
      </c>
    </row>
    <row r="39">
      <c r="A39" t="inlineStr">
        <is>
          <t>Houston</t>
        </is>
      </c>
      <c r="B39" t="n">
        <v>10604</v>
      </c>
      <c r="C39" t="inlineStr">
        <is>
          <t>190023</t>
        </is>
      </c>
      <c r="D39" t="inlineStr">
        <is>
          <t>4489 County Road 94</t>
        </is>
      </c>
      <c r="E39" t="inlineStr">
        <is>
          <t>Manvel</t>
        </is>
      </c>
      <c r="F39" t="inlineStr">
        <is>
          <t>TX</t>
        </is>
      </c>
      <c r="G39" t="inlineStr">
        <is>
          <t>77578</t>
        </is>
      </c>
      <c r="H39" t="n">
        <v>29.53145</v>
      </c>
      <c r="I39" t="n">
        <v>-95.38348999999999</v>
      </c>
      <c r="J39" s="38" t="n">
        <v>46356</v>
      </c>
      <c r="K39" t="inlineStr">
        <is>
          <t>Census address match</t>
        </is>
      </c>
    </row>
    <row r="40">
      <c r="A40" t="inlineStr">
        <is>
          <t>Houston</t>
        </is>
      </c>
      <c r="B40" t="n">
        <v>6000</v>
      </c>
      <c r="C40" t="inlineStr">
        <is>
          <t>189420</t>
        </is>
      </c>
      <c r="D40" t="inlineStr">
        <is>
          <t>4101 Fairmont Pkwy.,</t>
        </is>
      </c>
      <c r="E40" t="inlineStr">
        <is>
          <t>Pasadena</t>
        </is>
      </c>
      <c r="F40" t="inlineStr">
        <is>
          <t>TX</t>
        </is>
      </c>
      <c r="G40" t="inlineStr">
        <is>
          <t>77504</t>
        </is>
      </c>
      <c r="H40" t="n">
        <v>29.65103</v>
      </c>
      <c r="I40" t="n">
        <v>-95.18311</v>
      </c>
      <c r="J40" s="38" t="n">
        <v>46356</v>
      </c>
      <c r="K40" t="inlineStr">
        <is>
          <t>Census address match</t>
        </is>
      </c>
    </row>
    <row r="41">
      <c r="A41" t="inlineStr">
        <is>
          <t>Houston</t>
        </is>
      </c>
      <c r="B41" t="n">
        <v>7120</v>
      </c>
      <c r="C41" t="inlineStr">
        <is>
          <t>189522</t>
        </is>
      </c>
      <c r="D41" t="inlineStr">
        <is>
          <t>11600 Shadow Creek Pkwy.</t>
        </is>
      </c>
      <c r="E41" t="inlineStr">
        <is>
          <t>Pearland</t>
        </is>
      </c>
      <c r="F41" t="inlineStr">
        <is>
          <t>TX</t>
        </is>
      </c>
      <c r="G41" t="inlineStr">
        <is>
          <t>77584</t>
        </is>
      </c>
      <c r="H41" t="n">
        <v>29.57945</v>
      </c>
      <c r="I41" t="n">
        <v>-95.39617</v>
      </c>
      <c r="J41" s="38" t="n">
        <v>46356</v>
      </c>
      <c r="K41" t="inlineStr">
        <is>
          <t>Census address match</t>
        </is>
      </c>
    </row>
    <row r="42">
      <c r="A42" t="inlineStr">
        <is>
          <t>Austin / Central</t>
        </is>
      </c>
      <c r="B42" t="n">
        <v>6893</v>
      </c>
      <c r="C42" t="inlineStr">
        <is>
          <t>189469</t>
        </is>
      </c>
      <c r="D42" t="inlineStr">
        <is>
          <t>3569 Far West Blvd.</t>
        </is>
      </c>
      <c r="E42" t="inlineStr">
        <is>
          <t>Austin</t>
        </is>
      </c>
      <c r="F42" t="inlineStr">
        <is>
          <t>TX</t>
        </is>
      </c>
      <c r="G42" t="inlineStr">
        <is>
          <t>78731</t>
        </is>
      </c>
      <c r="H42" t="n">
        <v>30.35374</v>
      </c>
      <c r="I42" t="n">
        <v>-97.75409999999999</v>
      </c>
      <c r="J42" s="38" t="n">
        <v>46307</v>
      </c>
      <c r="K42" t="inlineStr">
        <is>
          <t>Census address match</t>
        </is>
      </c>
    </row>
    <row r="43">
      <c r="A43" t="inlineStr">
        <is>
          <t>Austin / Central</t>
        </is>
      </c>
      <c r="B43" t="n">
        <v>10691</v>
      </c>
      <c r="C43" t="inlineStr">
        <is>
          <t>190027</t>
        </is>
      </c>
      <c r="D43" t="inlineStr">
        <is>
          <t>302 Gateway North</t>
        </is>
      </c>
      <c r="E43" t="inlineStr">
        <is>
          <t>Marble Falls</t>
        </is>
      </c>
      <c r="F43" t="inlineStr">
        <is>
          <t>TX</t>
        </is>
      </c>
      <c r="G43" t="inlineStr">
        <is>
          <t>78654</t>
        </is>
      </c>
      <c r="H43" t="n">
        <v>30.56295</v>
      </c>
      <c r="I43" t="n">
        <v>-98.27437999999999</v>
      </c>
      <c r="J43" s="38" t="n">
        <v>46307</v>
      </c>
      <c r="K43" t="inlineStr">
        <is>
          <t>Census address match</t>
        </is>
      </c>
    </row>
    <row r="44">
      <c r="A44" t="inlineStr">
        <is>
          <t>Austin / Central</t>
        </is>
      </c>
      <c r="B44" t="n">
        <v>10875</v>
      </c>
      <c r="C44" t="inlineStr">
        <is>
          <t>190026</t>
        </is>
      </c>
      <c r="D44" t="inlineStr">
        <is>
          <t>3000 Rm 1431</t>
        </is>
      </c>
      <c r="E44" t="inlineStr">
        <is>
          <t>Round Rock</t>
        </is>
      </c>
      <c r="F44" t="inlineStr">
        <is>
          <t>TX</t>
        </is>
      </c>
      <c r="G44" t="inlineStr">
        <is>
          <t>78681</t>
        </is>
      </c>
      <c r="H44" t="n">
        <v>30.55072</v>
      </c>
      <c r="I44" t="n">
        <v>-97.73936</v>
      </c>
      <c r="J44" s="38" t="n">
        <v>46314</v>
      </c>
      <c r="K44" t="inlineStr">
        <is>
          <t>OSM CVS store match - verify (3000 Sendero Springs Dr)</t>
        </is>
      </c>
    </row>
    <row r="45">
      <c r="A45" t="inlineStr">
        <is>
          <t>Austin / Central</t>
        </is>
      </c>
      <c r="B45" t="n">
        <v>1430</v>
      </c>
      <c r="C45" t="inlineStr">
        <is>
          <t>189074</t>
        </is>
      </c>
      <c r="D45" t="inlineStr">
        <is>
          <t>2101 S. Lamar Blvd., Unit B</t>
        </is>
      </c>
      <c r="E45" t="inlineStr">
        <is>
          <t>Austin</t>
        </is>
      </c>
      <c r="F45" t="inlineStr">
        <is>
          <t>TX</t>
        </is>
      </c>
      <c r="G45" t="inlineStr">
        <is>
          <t>78704</t>
        </is>
      </c>
      <c r="H45" t="n">
        <v>30.24834</v>
      </c>
      <c r="I45" t="n">
        <v>-97.76999000000001</v>
      </c>
      <c r="J45" s="38" t="n">
        <v>46321</v>
      </c>
      <c r="K45" t="inlineStr">
        <is>
          <t>Census address match</t>
        </is>
      </c>
    </row>
    <row r="46">
      <c r="A46" t="inlineStr">
        <is>
          <t>Austin / Central</t>
        </is>
      </c>
      <c r="B46" t="n">
        <v>6822</v>
      </c>
      <c r="C46" t="inlineStr">
        <is>
          <t>189470</t>
        </is>
      </c>
      <c r="D46" t="inlineStr">
        <is>
          <t>5256 Burnet Rd Ste B</t>
        </is>
      </c>
      <c r="E46" t="inlineStr">
        <is>
          <t>Austin</t>
        </is>
      </c>
      <c r="F46" t="inlineStr">
        <is>
          <t>TX</t>
        </is>
      </c>
      <c r="G46" t="inlineStr">
        <is>
          <t>78756</t>
        </is>
      </c>
      <c r="H46" t="n">
        <v>30.3259</v>
      </c>
      <c r="I46" t="n">
        <v>-97.73969</v>
      </c>
      <c r="J46" s="38" t="n">
        <v>46321</v>
      </c>
      <c r="K46" t="inlineStr">
        <is>
          <t>Census address match</t>
        </is>
      </c>
    </row>
    <row r="47">
      <c r="A47" t="inlineStr">
        <is>
          <t>Austin / Central</t>
        </is>
      </c>
      <c r="B47" t="n">
        <v>5776</v>
      </c>
      <c r="C47" t="inlineStr">
        <is>
          <t>189425</t>
        </is>
      </c>
      <c r="D47" t="inlineStr">
        <is>
          <t>105 Wonderworld Drive</t>
        </is>
      </c>
      <c r="E47" t="inlineStr">
        <is>
          <t>San Marcos</t>
        </is>
      </c>
      <c r="F47" t="inlineStr">
        <is>
          <t>TX</t>
        </is>
      </c>
      <c r="G47" t="inlineStr">
        <is>
          <t>78666</t>
        </is>
      </c>
      <c r="H47" t="n">
        <v>29.86551</v>
      </c>
      <c r="I47" t="n">
        <v>-97.96307</v>
      </c>
      <c r="J47" s="38" t="n">
        <v>46321</v>
      </c>
      <c r="K47" t="inlineStr">
        <is>
          <t>Census address match</t>
        </is>
      </c>
    </row>
    <row r="48">
      <c r="A48" t="inlineStr">
        <is>
          <t>Austin / Central</t>
        </is>
      </c>
      <c r="B48" t="n">
        <v>10221</v>
      </c>
      <c r="C48" t="inlineStr">
        <is>
          <t>189928</t>
        </is>
      </c>
      <c r="D48" t="inlineStr">
        <is>
          <t>2502 Trimmier Rd.</t>
        </is>
      </c>
      <c r="E48" t="inlineStr">
        <is>
          <t>Killeen</t>
        </is>
      </c>
      <c r="F48" t="inlineStr">
        <is>
          <t>TX</t>
        </is>
      </c>
      <c r="G48" t="inlineStr">
        <is>
          <t>76542</t>
        </is>
      </c>
      <c r="H48" t="n">
        <v>31.0938</v>
      </c>
      <c r="I48" t="n">
        <v>-97.73262</v>
      </c>
      <c r="J48" s="38" t="n">
        <v>46342</v>
      </c>
      <c r="K48" t="inlineStr">
        <is>
          <t>Census address match</t>
        </is>
      </c>
    </row>
    <row r="49">
      <c r="A49" t="inlineStr">
        <is>
          <t>Austin / Central</t>
        </is>
      </c>
      <c r="B49" t="n">
        <v>10585</v>
      </c>
      <c r="C49" t="inlineStr">
        <is>
          <t>189982</t>
        </is>
      </c>
      <c r="D49" t="inlineStr">
        <is>
          <t>3300 W. Stan Schlueter Loop</t>
        </is>
      </c>
      <c r="E49" t="inlineStr">
        <is>
          <t>Killeen</t>
        </is>
      </c>
      <c r="F49" t="inlineStr">
        <is>
          <t>TX</t>
        </is>
      </c>
      <c r="G49" t="inlineStr">
        <is>
          <t>76549</t>
        </is>
      </c>
      <c r="H49" t="n">
        <v>31.08535</v>
      </c>
      <c r="I49" t="n">
        <v>-97.78440000000001</v>
      </c>
      <c r="J49" s="38" t="n">
        <v>46342</v>
      </c>
      <c r="K49" t="inlineStr">
        <is>
          <t>Census address match</t>
        </is>
      </c>
    </row>
    <row r="50">
      <c r="A50" t="inlineStr">
        <is>
          <t>Austin / Central</t>
        </is>
      </c>
      <c r="B50" t="n">
        <v>357</v>
      </c>
      <c r="C50" t="inlineStr">
        <is>
          <t>188921</t>
        </is>
      </c>
      <c r="D50" t="inlineStr">
        <is>
          <t>1701 E. Parmer Ln.</t>
        </is>
      </c>
      <c r="E50" t="inlineStr">
        <is>
          <t>Austin</t>
        </is>
      </c>
      <c r="F50" t="inlineStr">
        <is>
          <t>TX</t>
        </is>
      </c>
      <c r="G50" t="inlineStr">
        <is>
          <t>78754</t>
        </is>
      </c>
      <c r="H50" t="n">
        <v>30.38677</v>
      </c>
      <c r="I50" t="n">
        <v>-97.6485</v>
      </c>
      <c r="J50" s="38" t="n">
        <v>46356</v>
      </c>
      <c r="K50" t="inlineStr">
        <is>
          <t>Census address match</t>
        </is>
      </c>
    </row>
    <row r="51">
      <c r="A51" t="inlineStr">
        <is>
          <t>Austin / Central</t>
        </is>
      </c>
      <c r="B51" t="n">
        <v>928</v>
      </c>
      <c r="C51" t="inlineStr">
        <is>
          <t>189024</t>
        </is>
      </c>
      <c r="D51" t="inlineStr">
        <is>
          <t>800 West Old Settlers Blvd</t>
        </is>
      </c>
      <c r="E51" t="inlineStr">
        <is>
          <t>Round Rock</t>
        </is>
      </c>
      <c r="F51" t="inlineStr">
        <is>
          <t>TX</t>
        </is>
      </c>
      <c r="G51" t="inlineStr">
        <is>
          <t>78681</t>
        </is>
      </c>
      <c r="H51" t="n">
        <v>30.53606</v>
      </c>
      <c r="I51" t="n">
        <v>-97.69512</v>
      </c>
      <c r="J51" s="38" t="n">
        <v>46356</v>
      </c>
      <c r="K51" t="inlineStr">
        <is>
          <t>Census address match</t>
        </is>
      </c>
    </row>
    <row r="52">
      <c r="A52" t="inlineStr">
        <is>
          <t>San Antonio</t>
        </is>
      </c>
      <c r="B52" t="n">
        <v>10633</v>
      </c>
      <c r="C52" t="inlineStr">
        <is>
          <t>190030</t>
        </is>
      </c>
      <c r="D52" t="inlineStr">
        <is>
          <t>3502 Se Military Dr.</t>
        </is>
      </c>
      <c r="E52" t="inlineStr">
        <is>
          <t>San Antonio</t>
        </is>
      </c>
      <c r="F52" t="inlineStr">
        <is>
          <t>TX</t>
        </is>
      </c>
      <c r="G52" t="inlineStr">
        <is>
          <t>78223</t>
        </is>
      </c>
      <c r="H52" t="n">
        <v>29.35312</v>
      </c>
      <c r="I52" t="n">
        <v>-98.42646000000001</v>
      </c>
      <c r="J52" s="38" t="n">
        <v>46307</v>
      </c>
      <c r="K52" t="inlineStr">
        <is>
          <t>Census address match</t>
        </is>
      </c>
    </row>
    <row r="53">
      <c r="A53" t="inlineStr">
        <is>
          <t>San Antonio</t>
        </is>
      </c>
      <c r="B53" t="n">
        <v>10947</v>
      </c>
      <c r="C53" t="inlineStr">
        <is>
          <t>190028</t>
        </is>
      </c>
      <c r="D53" t="inlineStr">
        <is>
          <t>1910 State Highway 46 W</t>
        </is>
      </c>
      <c r="E53" t="inlineStr">
        <is>
          <t>New Braunfels</t>
        </is>
      </c>
      <c r="F53" t="inlineStr">
        <is>
          <t>TX</t>
        </is>
      </c>
      <c r="G53" t="inlineStr">
        <is>
          <t>78132</t>
        </is>
      </c>
      <c r="H53" t="n">
        <v>29.67152</v>
      </c>
      <c r="I53" t="n">
        <v>-98.05628</v>
      </c>
      <c r="J53" s="38" t="n">
        <v>46314</v>
      </c>
      <c r="K53" t="inlineStr">
        <is>
          <t>Census address match</t>
        </is>
      </c>
    </row>
    <row r="54">
      <c r="A54" t="inlineStr">
        <is>
          <t>San Antonio</t>
        </is>
      </c>
      <c r="B54" t="n">
        <v>10750</v>
      </c>
      <c r="C54" t="inlineStr">
        <is>
          <t>190029</t>
        </is>
      </c>
      <c r="D54" t="inlineStr">
        <is>
          <t>9050 Fm 1560 N</t>
        </is>
      </c>
      <c r="E54" t="inlineStr">
        <is>
          <t>San Antonio</t>
        </is>
      </c>
      <c r="F54" t="inlineStr">
        <is>
          <t>TX</t>
        </is>
      </c>
      <c r="G54" t="inlineStr">
        <is>
          <t>78254</t>
        </is>
      </c>
      <c r="H54" t="n">
        <v>29.52424</v>
      </c>
      <c r="I54" t="n">
        <v>-98.71799</v>
      </c>
      <c r="J54" s="38" t="n">
        <v>46314</v>
      </c>
      <c r="K54" t="inlineStr">
        <is>
          <t>Census address match</t>
        </is>
      </c>
    </row>
    <row r="55">
      <c r="A55" t="inlineStr">
        <is>
          <t>San Antonio</t>
        </is>
      </c>
      <c r="B55" t="n">
        <v>10595</v>
      </c>
      <c r="C55" t="inlineStr">
        <is>
          <t>189984</t>
        </is>
      </c>
      <c r="D55" t="inlineStr">
        <is>
          <t>200 Cibolo Valley Dr.</t>
        </is>
      </c>
      <c r="E55" t="inlineStr">
        <is>
          <t>Cibolo</t>
        </is>
      </c>
      <c r="F55" t="inlineStr">
        <is>
          <t>TX</t>
        </is>
      </c>
      <c r="G55" t="inlineStr">
        <is>
          <t>78108</t>
        </is>
      </c>
      <c r="H55" t="n">
        <v>29.60842</v>
      </c>
      <c r="I55" t="n">
        <v>-98.26611</v>
      </c>
      <c r="J55" s="38" t="n">
        <v>46328</v>
      </c>
      <c r="K55" t="inlineStr">
        <is>
          <t>Road only (Cibolo Valley Dr) - approx.</t>
        </is>
      </c>
    </row>
    <row r="56">
      <c r="A56" t="inlineStr">
        <is>
          <t>San Antonio</t>
        </is>
      </c>
      <c r="B56" t="n">
        <v>7307</v>
      </c>
      <c r="C56" t="inlineStr">
        <is>
          <t>189526</t>
        </is>
      </c>
      <c r="D56" t="inlineStr">
        <is>
          <t>2018 Culebra Rd.</t>
        </is>
      </c>
      <c r="E56" t="inlineStr">
        <is>
          <t>San Antonio</t>
        </is>
      </c>
      <c r="F56" t="inlineStr">
        <is>
          <t>TX</t>
        </is>
      </c>
      <c r="G56" t="inlineStr">
        <is>
          <t>78201</t>
        </is>
      </c>
      <c r="H56" t="n">
        <v>29.44652</v>
      </c>
      <c r="I56" t="n">
        <v>-98.53973999999999</v>
      </c>
      <c r="J56" s="38" t="n">
        <v>46328</v>
      </c>
      <c r="K56" t="inlineStr">
        <is>
          <t>Census address match</t>
        </is>
      </c>
    </row>
    <row r="57">
      <c r="A57" t="inlineStr">
        <is>
          <t>San Antonio</t>
        </is>
      </c>
      <c r="B57" t="n">
        <v>10579</v>
      </c>
      <c r="C57" t="inlineStr">
        <is>
          <t>189983</t>
        </is>
      </c>
      <c r="D57" t="inlineStr">
        <is>
          <t>4600 Broadway St.</t>
        </is>
      </c>
      <c r="E57" t="inlineStr">
        <is>
          <t>Alamo Heights</t>
        </is>
      </c>
      <c r="F57" t="inlineStr">
        <is>
          <t>TX</t>
        </is>
      </c>
      <c r="G57" t="inlineStr">
        <is>
          <t>78209</t>
        </is>
      </c>
      <c r="H57" t="n">
        <v>29.4683</v>
      </c>
      <c r="I57" t="n">
        <v>-98.46356</v>
      </c>
      <c r="J57" s="38" t="n">
        <v>46342</v>
      </c>
      <c r="K57" t="inlineStr">
        <is>
          <t>Census address match</t>
        </is>
      </c>
    </row>
    <row r="58">
      <c r="A58" t="inlineStr">
        <is>
          <t>San Antonio</t>
        </is>
      </c>
      <c r="B58" t="n">
        <v>7808</v>
      </c>
      <c r="C58" t="inlineStr">
        <is>
          <t>189524</t>
        </is>
      </c>
      <c r="D58" t="inlineStr">
        <is>
          <t>4805 Medical Dr</t>
        </is>
      </c>
      <c r="E58" t="inlineStr">
        <is>
          <t>San Antonio</t>
        </is>
      </c>
      <c r="F58" t="inlineStr">
        <is>
          <t>TX</t>
        </is>
      </c>
      <c r="G58" t="inlineStr">
        <is>
          <t>78229</t>
        </is>
      </c>
      <c r="H58" t="n">
        <v>29.51041</v>
      </c>
      <c r="I58" t="n">
        <v>-98.58032</v>
      </c>
      <c r="J58" s="38" t="n">
        <v>46356</v>
      </c>
      <c r="K58" t="inlineStr">
        <is>
          <t>Census address match</t>
        </is>
      </c>
    </row>
    <row r="59">
      <c r="A59" t="inlineStr">
        <is>
          <t>San Antonio</t>
        </is>
      </c>
      <c r="B59" t="n">
        <v>7784</v>
      </c>
      <c r="C59" t="inlineStr">
        <is>
          <t>189525</t>
        </is>
      </c>
      <c r="D59" t="inlineStr">
        <is>
          <t>110 S King St</t>
        </is>
      </c>
      <c r="E59" t="inlineStr">
        <is>
          <t>Seguin</t>
        </is>
      </c>
      <c r="F59" t="inlineStr">
        <is>
          <t>TX</t>
        </is>
      </c>
      <c r="G59" t="inlineStr">
        <is>
          <t>78155</t>
        </is>
      </c>
      <c r="H59" t="n">
        <v>29.56873</v>
      </c>
      <c r="I59" t="n">
        <v>-97.94987999999999</v>
      </c>
      <c r="J59" s="38" t="n">
        <v>46356</v>
      </c>
      <c r="K59" t="inlineStr">
        <is>
          <t>Census address match</t>
        </is>
      </c>
    </row>
    <row r="60">
      <c r="A60" t="inlineStr">
        <is>
          <t>South TX</t>
        </is>
      </c>
      <c r="B60" t="n">
        <v>5651</v>
      </c>
      <c r="C60" t="inlineStr">
        <is>
          <t>189422</t>
        </is>
      </c>
      <c r="D60" t="inlineStr">
        <is>
          <t>1602 East Highway 83</t>
        </is>
      </c>
      <c r="E60" t="inlineStr">
        <is>
          <t>Weslaco</t>
        </is>
      </c>
      <c r="F60" t="inlineStr">
        <is>
          <t>TX</t>
        </is>
      </c>
      <c r="G60" t="inlineStr">
        <is>
          <t>78596</t>
        </is>
      </c>
      <c r="H60" t="n">
        <v>26.15593</v>
      </c>
      <c r="I60" t="n">
        <v>-97.97398</v>
      </c>
      <c r="J60" s="38" t="n">
        <v>46321</v>
      </c>
      <c r="K60" t="inlineStr">
        <is>
          <t>OSM CVS store match - verify (1602 E 6th St)</t>
        </is>
      </c>
    </row>
    <row r="61">
      <c r="A61" t="inlineStr">
        <is>
          <t>South TX</t>
        </is>
      </c>
      <c r="B61" t="n">
        <v>10405</v>
      </c>
      <c r="C61" t="inlineStr">
        <is>
          <t>189978</t>
        </is>
      </c>
      <c r="D61" t="inlineStr">
        <is>
          <t>103 W. Monte Cristo Rd.</t>
        </is>
      </c>
      <c r="E61" t="inlineStr">
        <is>
          <t>Edinburg</t>
        </is>
      </c>
      <c r="F61" t="inlineStr">
        <is>
          <t>TX</t>
        </is>
      </c>
      <c r="G61" t="inlineStr">
        <is>
          <t>78541</t>
        </is>
      </c>
      <c r="H61" t="n">
        <v>26.34057</v>
      </c>
      <c r="I61" t="n">
        <v>-98.17993</v>
      </c>
      <c r="J61" s="38" t="n">
        <v>46328</v>
      </c>
      <c r="K61" t="inlineStr">
        <is>
          <t>Road only (W Monte Cristo Rd) - approx.</t>
        </is>
      </c>
    </row>
    <row r="62">
      <c r="A62" t="inlineStr">
        <is>
          <t>South TX</t>
        </is>
      </c>
      <c r="B62" t="n">
        <v>10107</v>
      </c>
      <c r="C62" t="inlineStr">
        <is>
          <t>189926</t>
        </is>
      </c>
      <c r="D62" t="inlineStr">
        <is>
          <t>2300 N Conway Ave.</t>
        </is>
      </c>
      <c r="E62" t="inlineStr">
        <is>
          <t>Mission</t>
        </is>
      </c>
      <c r="F62" t="inlineStr">
        <is>
          <t>TX</t>
        </is>
      </c>
      <c r="G62" t="inlineStr">
        <is>
          <t>78574</t>
        </is>
      </c>
      <c r="H62" t="n">
        <v>26.23017</v>
      </c>
      <c r="I62" t="n">
        <v>-98.32266</v>
      </c>
      <c r="J62" s="38" t="n">
        <v>46328</v>
      </c>
      <c r="K62" t="inlineStr">
        <is>
          <t>OSM CVS store match</t>
        </is>
      </c>
    </row>
    <row r="63">
      <c r="A63" t="inlineStr">
        <is>
          <t>South TX</t>
        </is>
      </c>
      <c r="B63" t="n">
        <v>248</v>
      </c>
      <c r="C63" t="inlineStr">
        <is>
          <t>188919</t>
        </is>
      </c>
      <c r="D63" t="inlineStr">
        <is>
          <t>2121 W. Trenton Rd.</t>
        </is>
      </c>
      <c r="E63" t="inlineStr">
        <is>
          <t>Edinburg</t>
        </is>
      </c>
      <c r="F63" t="inlineStr">
        <is>
          <t>TX</t>
        </is>
      </c>
      <c r="G63" t="inlineStr">
        <is>
          <t>78539</t>
        </is>
      </c>
      <c r="H63" t="n">
        <v>26.26466</v>
      </c>
      <c r="I63" t="n">
        <v>-98.19207</v>
      </c>
      <c r="J63" s="38" t="n">
        <v>46335</v>
      </c>
      <c r="K63" t="inlineStr">
        <is>
          <t>Census address match</t>
        </is>
      </c>
    </row>
    <row r="64">
      <c r="A64" t="inlineStr">
        <is>
          <t>South TX</t>
        </is>
      </c>
      <c r="B64" t="n">
        <v>2328</v>
      </c>
      <c r="C64" t="inlineStr">
        <is>
          <t>189190</t>
        </is>
      </c>
      <c r="D64" t="inlineStr">
        <is>
          <t>3205 S. Alameda St.</t>
        </is>
      </c>
      <c r="E64" t="inlineStr">
        <is>
          <t>Corpus Christi</t>
        </is>
      </c>
      <c r="F64" t="inlineStr">
        <is>
          <t>TX</t>
        </is>
      </c>
      <c r="G64" t="inlineStr">
        <is>
          <t>78404</t>
        </is>
      </c>
      <c r="H64" t="n">
        <v>27.75643</v>
      </c>
      <c r="I64" t="n">
        <v>-97.38984000000001</v>
      </c>
      <c r="J64" s="38" t="n">
        <v>46342</v>
      </c>
      <c r="K64" t="inlineStr">
        <is>
          <t>OSM address match</t>
        </is>
      </c>
    </row>
    <row r="65">
      <c r="A65" t="inlineStr">
        <is>
          <t>Outlier</t>
        </is>
      </c>
      <c r="B65" t="n">
        <v>10594</v>
      </c>
      <c r="C65" t="inlineStr">
        <is>
          <t>189977</t>
        </is>
      </c>
      <c r="D65" t="inlineStr">
        <is>
          <t>500 N. Carrollton Ave.</t>
        </is>
      </c>
      <c r="E65" t="inlineStr">
        <is>
          <t>New Orleans</t>
        </is>
      </c>
      <c r="F65" t="inlineStr">
        <is>
          <t>LA</t>
        </is>
      </c>
      <c r="G65" t="inlineStr">
        <is>
          <t>70119</t>
        </is>
      </c>
      <c r="H65" t="n">
        <v>29.9775</v>
      </c>
      <c r="I65" t="n">
        <v>-90.09721999999999</v>
      </c>
      <c r="J65" s="38" t="n">
        <v>46321</v>
      </c>
      <c r="K65" t="inlineStr">
        <is>
          <t>Census address match</t>
        </is>
      </c>
    </row>
    <row r="66">
      <c r="A66" t="inlineStr">
        <is>
          <t>Outlier</t>
        </is>
      </c>
      <c r="B66" t="n">
        <v>1543</v>
      </c>
      <c r="C66" t="inlineStr">
        <is>
          <t>189116</t>
        </is>
      </c>
      <c r="D66" t="inlineStr">
        <is>
          <t>7301 Hillside Rd.</t>
        </is>
      </c>
      <c r="E66" t="inlineStr">
        <is>
          <t>Amarillo</t>
        </is>
      </c>
      <c r="F66" t="inlineStr">
        <is>
          <t>TX</t>
        </is>
      </c>
      <c r="G66" t="inlineStr">
        <is>
          <t>79119</t>
        </is>
      </c>
      <c r="H66" t="n">
        <v>35.14673</v>
      </c>
      <c r="I66" t="n">
        <v>-101.92013</v>
      </c>
      <c r="J66" s="38" t="n">
        <v>46356</v>
      </c>
      <c r="K66" t="inlineStr">
        <is>
          <t>Census address match</t>
        </is>
      </c>
    </row>
  </sheetData>
  <autoFilter ref="A1:K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style="26" min="1" max="1"/>
    <col width="95" customWidth="1" style="26" min="2" max="2"/>
    <col width="32" customWidth="1" style="26" min="3" max="3"/>
  </cols>
  <sheetData>
    <row r="1">
      <c r="A1" s="27" t="inlineStr">
        <is>
          <t>Open items to close before the plan is final</t>
        </is>
      </c>
    </row>
    <row r="3">
      <c r="A3" s="30" t="inlineStr">
        <is>
          <t>Item</t>
        </is>
      </c>
      <c r="B3" s="30" t="inlineStr">
        <is>
          <t>Detail</t>
        </is>
      </c>
      <c r="C3" s="30" t="inlineStr">
        <is>
          <t>Owner</t>
        </is>
      </c>
    </row>
    <row r="4">
      <c r="A4" s="35" t="inlineStr">
        <is>
          <t>Ship-from point / vendor lead time</t>
        </is>
      </c>
      <c r="B4" s="35" t="inlineStr">
        <is>
          <t>Transit days on Assumptions are placeholders. Need the vendor ship point and production lead time.</t>
        </is>
      </c>
      <c r="C4" s="35" t="inlineStr">
        <is>
          <t>Owner: Procurement / vendor</t>
        </is>
      </c>
    </row>
    <row r="5">
      <c r="A5" s="35" t="inlineStr">
        <is>
          <t>Meaning and firmness of MSD</t>
        </is>
      </c>
      <c r="B5" s="35" t="inlineStr">
        <is>
          <t>Plan treats MSD as the install window opening and CSD (MSD + 7) as the deadline. Confirm with CVS/program manager.</t>
        </is>
      </c>
      <c r="C5" s="35" t="inlineStr">
        <is>
          <t>Owner: PM</t>
        </is>
      </c>
    </row>
    <row r="6">
      <c r="A6" s="35" t="inlineStr">
        <is>
          <t>Unit configs for stores not validated</t>
        </is>
      </c>
      <c r="B6" s="35" t="inlineStr">
        <is>
          <t>30 stores show Not Validated Yet and have no unit config. Plan uses the default and flags them; PO quantities should not be locked until configs are confirmed.</t>
        </is>
      </c>
      <c r="C6" s="35" t="inlineStr">
        <is>
          <t>Owner: CVS / layout validation</t>
        </is>
      </c>
    </row>
    <row r="7">
      <c r="A7" s="35" t="inlineStr">
        <is>
          <t>Labor model TBD</t>
        </is>
      </c>
      <c r="B7" s="35" t="inlineStr">
        <is>
          <t>MV vs Store Labor is blank for the not-validated stores and some validated stores (hours 0). Affects who receives/installs.</t>
        </is>
      </c>
      <c r="C7" s="35" t="inlineStr">
        <is>
          <t>Owner: PM</t>
        </is>
      </c>
    </row>
    <row r="8">
      <c r="A8" s="35" t="inlineStr">
        <is>
          <t>Remote stores</t>
        </is>
      </c>
      <c r="B8" s="35" t="inlineStr">
        <is>
          <t>Amarillo (1543) and New Orleans (10594) are far from any cluster; decide on dedicated delivery or bundling with another run.</t>
        </is>
      </c>
      <c r="C8" s="35" t="inlineStr">
        <is>
          <t>Owner: Logistics</t>
        </is>
      </c>
    </row>
    <row r="9">
      <c r="A9" s="35" t="inlineStr">
        <is>
          <t>Receiving windows / store contacts</t>
        </is>
      </c>
      <c r="B9" s="35" t="inlineStr">
        <is>
          <t>Need site delivery hours, dock/no-dock, and receiving contacts per store, particularly for freestanding pads and convenience store types.</t>
        </is>
      </c>
      <c r="C9" s="35" t="inlineStr">
        <is>
          <t>Owner: Field ops</t>
        </is>
      </c>
    </row>
    <row r="10">
      <c r="A10" s="35" t="inlineStr">
        <is>
          <t>Crew plan</t>
        </is>
      </c>
      <c r="B10" s="35" t="inlineStr">
        <is>
          <t>Region Summary gives peak-week load; confirm self-perform vs sub and travel/lodging for South TX and outliers.</t>
        </is>
      </c>
      <c r="C10" s="35" t="inlineStr">
        <is>
          <t>Owner: COO / Ops</t>
        </is>
      </c>
    </row>
    <row r="11">
      <c r="A11" s="35" t="inlineStr">
        <is>
          <t>Tie to PO</t>
        </is>
      </c>
      <c r="B11" s="35" t="inlineStr">
        <is>
          <t>Once configs firm up, roll units per region into the vendor PO and delivery schedule.</t>
        </is>
      </c>
      <c r="C11" s="35" t="inlineStr">
        <is>
          <t>Owner: 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Pierce, Sarah A</dc:creator>
  <dcterms:created xmlns:dcterms="http://purl.org/dc/terms/" xmlns:xsi="http://www.w3.org/2001/XMLSchema-instance" xsi:type="dcterms:W3CDTF">2026-05-05T15:35:19Z</dcterms:created>
  <dcterms:modified xmlns:dcterms="http://purl.org/dc/terms/" xmlns:xsi="http://www.w3.org/2001/XMLSchema-instance" xsi:type="dcterms:W3CDTF">2026-09-25T19:49:24Z</dcterms:modified>
  <cp:lastModifiedBy>Anthony Froyd</cp:lastModifiedBy>
</cp:coreProperties>
</file>

<file path=docProps/custom.xml><?xml version="1.0" encoding="utf-8"?>
<Properties xmlns="http://schemas.openxmlformats.org/officeDocument/2006/custom-properties">
  <property name="MSIP_Label_1ecdf243-b9b0-4f63-8694-76742e4201b7_Enabled" fmtid="{D5CDD505-2E9C-101B-9397-08002B2CF9AE}" pid="2">
    <vt:lpwstr xmlns:vt="http://schemas.openxmlformats.org/officeDocument/2006/docPropsVTypes">true</vt:lpwstr>
  </property>
  <property name="MSIP_Label_1ecdf243-b9b0-4f63-8694-76742e4201b7_SetDate" fmtid="{D5CDD505-2E9C-101B-9397-08002B2CF9AE}" pid="3">
    <vt:lpwstr xmlns:vt="http://schemas.openxmlformats.org/officeDocument/2006/docPropsVTypes">2026-05-05T15:45:21Z</vt:lpwstr>
  </property>
  <property name="MSIP_Label_1ecdf243-b9b0-4f63-8694-76742e4201b7_Method" fmtid="{D5CDD505-2E9C-101B-9397-08002B2CF9AE}" pid="4">
    <vt:lpwstr xmlns:vt="http://schemas.openxmlformats.org/officeDocument/2006/docPropsVTypes">Standard</vt:lpwstr>
  </property>
  <property name="MSIP_Label_1ecdf243-b9b0-4f63-8694-76742e4201b7_Name" fmtid="{D5CDD505-2E9C-101B-9397-08002B2CF9AE}" pid="5">
    <vt:lpwstr xmlns:vt="http://schemas.openxmlformats.org/officeDocument/2006/docPropsVTypes">Proprietary general</vt:lpwstr>
  </property>
  <property name="MSIP_Label_1ecdf243-b9b0-4f63-8694-76742e4201b7_SiteId" fmtid="{D5CDD505-2E9C-101B-9397-08002B2CF9AE}" pid="6">
    <vt:lpwstr xmlns:vt="http://schemas.openxmlformats.org/officeDocument/2006/docPropsVTypes">fabb61b8-3afe-4e75-b934-a47f782b8cd7</vt:lpwstr>
  </property>
  <property name="MSIP_Label_1ecdf243-b9b0-4f63-8694-76742e4201b7_ActionId" fmtid="{D5CDD505-2E9C-101B-9397-08002B2CF9AE}" pid="7">
    <vt:lpwstr xmlns:vt="http://schemas.openxmlformats.org/officeDocument/2006/docPropsVTypes">ec0daaa6-0ae1-4833-8e5c-97b57da4dec9</vt:lpwstr>
  </property>
  <property name="MSIP_Label_1ecdf243-b9b0-4f63-8694-76742e4201b7_ContentBits" fmtid="{D5CDD505-2E9C-101B-9397-08002B2CF9AE}" pid="8">
    <vt:lpwstr xmlns:vt="http://schemas.openxmlformats.org/officeDocument/2006/docPropsVTypes">0</vt:lpwstr>
  </property>
  <property name="MSIP_Label_1ecdf243-b9b0-4f63-8694-76742e4201b7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0x010100FA5DA474BC6C1E41B3520A7480F67859</vt:lpwstr>
  </property>
  <property name="PlanSwiftJobName" fmtid="{D5CDD505-2E9C-101B-9397-08002B2CF9AE}" pid="11">
    <vt:lpwstr xmlns:vt="http://schemas.openxmlformats.org/officeDocument/2006/docPropsVTypes"/>
  </property>
  <property name="PlanSwiftJobGuid" fmtid="{D5CDD505-2E9C-101B-9397-08002B2CF9AE}" pid="12">
    <vt:lpwstr xmlns:vt="http://schemas.openxmlformats.org/officeDocument/2006/docPropsVTypes"/>
  </property>
  <property name="LinkedDataId" fmtid="{D5CDD505-2E9C-101B-9397-08002B2CF9AE}" pid="13">
    <vt:lpwstr xmlns:vt="http://schemas.openxmlformats.org/officeDocument/2006/docPropsVTypes">{487EAE32-9003-40C1-80C7-5A0D137BF59C}</vt:lpwstr>
  </property>
</Properties>
</file>